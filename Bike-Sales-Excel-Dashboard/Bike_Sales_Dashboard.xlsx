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397b4609129cddca/Documents/Bike-Sales-Excel-Dashboard/"/>
    </mc:Choice>
  </mc:AlternateContent>
  <xr:revisionPtr revIDLastSave="40" documentId="13_ncr:1_{9110FD6C-F2A9-4ACA-AD13-392A6FBB4CDD}" xr6:coauthVersionLast="47" xr6:coauthVersionMax="47" xr10:uidLastSave="{9414DE5C-A013-44B9-8762-14FB4B3C56E9}"/>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<sst xmlns="http://schemas.openxmlformats.org/spreadsheetml/2006/main" count="16276" uniqueCount="53">
  <si>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</si>
  <si>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</si>
  <si>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</si>
  <si>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</si>
  <si>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</si>
  <si>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</si>
  <si>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</si>
  <si>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</si>
  <si>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</si>
  <si>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</si>
  <si>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</si>
  <si>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</si>
  <si>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</si>
  <si>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</si>
  <si>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</si>
  <si>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</si>
  <si>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</si>
  <si>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</si>
  <si>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</si>
  <si>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</si>
  <si>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</si>
  <si>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</si>
  <si>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</si>
  <si>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</si>
  <si>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</si>
  <si>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</si>
  <si>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</si>
  <si>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</si>
  <si>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</si>
  <si>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</si>
  <si>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</si>
  <si>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</si>
  <si>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</si>
  <si>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</si>
  <si>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</si>
  <si>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</si>
  <si>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</si>
  <si>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</si>
  <si>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</si>
  <si>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</si>
  <si>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</si>
  <si>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</si>
  <si>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</si>
  <si>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</si>
  <si>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</si>
  <si>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</si>
  <si>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</si>
  <si>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Aged (31-55)</t>
  </si>
  <si>
    <t>Old (56-85)</t>
  </si>
  <si>
    <t>Young (0-31)</t>
  </si>
  <si>
    <t>l</t>
  </si>
  <si>
    <t>BIKE SALES DASHBOARD</t>
  </si>
  <si>
    <t>Count of Bikes 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</si>
</sst>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2"/>
      <color theme="5"/>
      <name val="Britannic Bold"/>
      <family val="2"/>
    </font>
    <font>
      <sz val="32"/>
      <color theme="1"/>
      <name val="Britannic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9" fillId="33" borderId="0" xfId="0" applyFont="1" applyFill="1" applyAlignment="1">
      <alignment horizontal="center" vertical="center"/>
    </xf>
    <xf numFmtId="0" fontId="0" fillId="0" borderId="0" xfId="0" applyNumberFormat="1"/>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7478-400E-BD76-4A6E3F8F729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7478-400E-BD76-4A6E3F8F7294}"/>
            </c:ext>
          </c:extLst>
        </c:ser>
        <c:dLbls>
          <c:showLegendKey val="0"/>
          <c:showVal val="0"/>
          <c:showCatName val="0"/>
          <c:showSerName val="0"/>
          <c:showPercent val="0"/>
          <c:showBubbleSize val="0"/>
        </c:dLbls>
        <c:gapWidth val="219"/>
        <c:axId val="2127145312"/>
        <c:axId val="369210831"/>
      </c:barChart>
      <c:catAx>
        <c:axId val="212714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10831"/>
        <c:crosses val="autoZero"/>
        <c:auto val="1"/>
        <c:lblAlgn val="ctr"/>
        <c:lblOffset val="100"/>
        <c:noMultiLvlLbl val="0"/>
      </c:catAx>
      <c:valAx>
        <c:axId val="369210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1453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Table'!$B$26:$B$27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E61-4FAB-B403-F1BB579EB78F}"/>
            </c:ext>
          </c:extLst>
        </c:ser>
        <c:ser>
          <c:idx val="1"/>
          <c:order val="1"/>
          <c:tx>
            <c:strRef>
              <c:f>'Pivot Table'!$C$26:$C$27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E61-4FAB-B403-F1BB579EB78F}"/>
            </c:ext>
          </c:extLst>
        </c:ser>
        <c:dLbls>
          <c:showLegendKey val="0"/>
          <c:showVal val="0"/>
          <c:showCatName val="0"/>
          <c:showSerName val="0"/>
          <c:showPercent val="0"/>
          <c:showBubbleSize val="0"/>
        </c:dLbls>
        <c:marker val="1"/>
        <c:smooth val="0"/>
        <c:axId val="371909231"/>
        <c:axId val="604064559"/>
      </c:lineChart>
      <c:catAx>
        <c:axId val="37190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064559"/>
        <c:crosses val="autoZero"/>
        <c:auto val="1"/>
        <c:lblAlgn val="ctr"/>
        <c:lblOffset val="100"/>
        <c:noMultiLvlLbl val="0"/>
      </c:catAx>
      <c:valAx>
        <c:axId val="604064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0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Age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Table'!$B$42:$B$43</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3B8-42DF-B846-F39C9E49DE6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3B8-42DF-B846-F39C9E49DE6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3B8-42DF-B846-F39C9E49DE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Table'!$A$44:$A$47</c:f>
              <c:strCache>
                <c:ptCount val="3"/>
                <c:pt idx="0">
                  <c:v>Middle Aged (31-55)</c:v>
                </c:pt>
                <c:pt idx="1">
                  <c:v>Old (56-85)</c:v>
                </c:pt>
                <c:pt idx="2">
                  <c:v>Young (0-31)</c:v>
                </c:pt>
              </c:strCache>
            </c:strRef>
          </c:cat>
          <c:val>
            <c:numRef>
              <c:f>'Pivot Table'!$B$44:$B$47</c:f>
              <c:numCache>
                <c:formatCode>General</c:formatCode>
                <c:ptCount val="3"/>
                <c:pt idx="0">
                  <c:v>331</c:v>
                </c:pt>
                <c:pt idx="1">
                  <c:v>117</c:v>
                </c:pt>
                <c:pt idx="2">
                  <c:v>71</c:v>
                </c:pt>
              </c:numCache>
            </c:numRef>
          </c:val>
          <c:extLst>
            <c:ext xmlns:c16="http://schemas.microsoft.com/office/drawing/2014/chart" uri="{C3380CC4-5D6E-409C-BE32-E72D297353CC}">
              <c16:uniqueId val="{00000000-A0BD-42DE-BAFE-FF09A0A795F3}"/>
            </c:ext>
          </c:extLst>
        </c:ser>
        <c:ser>
          <c:idx val="1"/>
          <c:order val="1"/>
          <c:tx>
            <c:strRef>
              <c:f>'Pivot Table'!$C$42:$C$43</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33B8-42DF-B846-F39C9E49DE6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33B8-42DF-B846-F39C9E49DE6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33B8-42DF-B846-F39C9E49DE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Table'!$A$44:$A$47</c:f>
              <c:strCache>
                <c:ptCount val="3"/>
                <c:pt idx="0">
                  <c:v>Middle Aged (31-55)</c:v>
                </c:pt>
                <c:pt idx="1">
                  <c:v>Old (56-85)</c:v>
                </c:pt>
                <c:pt idx="2">
                  <c:v>Young (0-31)</c:v>
                </c:pt>
              </c:strCache>
            </c:strRef>
          </c:cat>
          <c:val>
            <c:numRef>
              <c:f>'Pivot Table'!$C$44:$C$47</c:f>
              <c:numCache>
                <c:formatCode>General</c:formatCode>
                <c:ptCount val="3"/>
                <c:pt idx="0">
                  <c:v>388</c:v>
                </c:pt>
                <c:pt idx="1">
                  <c:v>54</c:v>
                </c:pt>
                <c:pt idx="2">
                  <c:v>39</c:v>
                </c:pt>
              </c:numCache>
            </c:numRef>
          </c:val>
          <c:extLst>
            <c:ext xmlns:c16="http://schemas.microsoft.com/office/drawing/2014/chart" uri="{C3380CC4-5D6E-409C-BE32-E72D297353CC}">
              <c16:uniqueId val="{00000001-A0BD-42DE-BAFE-FF09A0A795F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Wise Bikes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Table'!$B$57:$B$58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Table'!$B$59:$B$112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715-4254-AD8E-BE24E810CD79}"/>
            </c:ext>
          </c:extLst>
        </c:ser>
        <c:ser>
          <c:idx val="1"/>
          <c:order val="1"/>
          <c:tx>
            <c:strRef>
              <c:f>'Pivot Table'!$C$57:$C$58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Table'!$C$59:$C$112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715-4254-AD8E-BE24E810CD79}"/>
            </c:ext>
          </c:extLst>
        </c:ser>
        <c:dLbls>
          <c:showLegendKey val="0"/>
          <c:showVal val="0"/>
          <c:showCatName val="0"/>
          <c:showSerName val="0"/>
          <c:showPercent val="0"/>
          <c:showBubbleSize val="0"/>
        </c:dLbls>
        <c:marker val="1"/>
        <c:smooth val="0"/>
        <c:axId val="607116175"/>
        <c:axId val="604105359"/>
      </c:lineChart>
      <c:catAx>
        <c:axId val="607116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05359"/>
        <c:crosses val="autoZero"/>
        <c:auto val="1"/>
        <c:lblAlgn val="ctr"/>
        <c:lblOffset val="100"/>
        <c:noMultiLvlLbl val="0"/>
      </c:catAx>
      <c:valAx>
        <c:axId val="604105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1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685A-40E9-AFC6-E64A43FA247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685A-40E9-AFC6-E64A43FA2472}"/>
            </c:ext>
          </c:extLst>
        </c:ser>
        <c:dLbls>
          <c:showLegendKey val="0"/>
          <c:showVal val="0"/>
          <c:showCatName val="0"/>
          <c:showSerName val="0"/>
          <c:showPercent val="0"/>
          <c:showBubbleSize val="0"/>
        </c:dLbls>
        <c:gapWidth val="219"/>
        <c:axId val="2127145312"/>
        <c:axId val="369210831"/>
      </c:barChart>
      <c:catAx>
        <c:axId val="212714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10831"/>
        <c:crosses val="autoZero"/>
        <c:auto val="1"/>
        <c:lblAlgn val="ctr"/>
        <c:lblOffset val="100"/>
        <c:noMultiLvlLbl val="0"/>
      </c:catAx>
      <c:valAx>
        <c:axId val="369210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1453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Table'!$B$26:$B$27</c:f>
              <c:strCache>
                <c:ptCount val="1"/>
                <c:pt idx="0">
                  <c:v>No</c:v>
                </c:pt>
              </c:strCache>
            </c:strRef>
          </c:tx>
          <c:spPr>
            <a:solidFill>
              <a:schemeClr val="accent1"/>
            </a:solidFill>
            <a:ln>
              <a:noFill/>
            </a:ln>
            <a:effectLst/>
          </c:spPr>
          <c:invertIfNegative val="0"/>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630A-4752-AD36-AED9025BF38C}"/>
            </c:ext>
          </c:extLst>
        </c:ser>
        <c:ser>
          <c:idx val="1"/>
          <c:order val="1"/>
          <c:tx>
            <c:strRef>
              <c:f>'Pivot Table'!$C$26:$C$27</c:f>
              <c:strCache>
                <c:ptCount val="1"/>
                <c:pt idx="0">
                  <c:v>Yes</c:v>
                </c:pt>
              </c:strCache>
            </c:strRef>
          </c:tx>
          <c:spPr>
            <a:solidFill>
              <a:schemeClr val="accent2"/>
            </a:solidFill>
            <a:ln>
              <a:noFill/>
            </a:ln>
            <a:effectLst/>
          </c:spPr>
          <c:invertIfNegative val="0"/>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630A-4752-AD36-AED9025BF38C}"/>
            </c:ext>
          </c:extLst>
        </c:ser>
        <c:dLbls>
          <c:showLegendKey val="0"/>
          <c:showVal val="0"/>
          <c:showCatName val="0"/>
          <c:showSerName val="0"/>
          <c:showPercent val="0"/>
          <c:showBubbleSize val="0"/>
        </c:dLbls>
        <c:gapWidth val="150"/>
        <c:axId val="371909231"/>
        <c:axId val="604064559"/>
      </c:barChart>
      <c:catAx>
        <c:axId val="37190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064559"/>
        <c:crosses val="autoZero"/>
        <c:auto val="1"/>
        <c:lblAlgn val="ctr"/>
        <c:lblOffset val="100"/>
        <c:noMultiLvlLbl val="0"/>
      </c:catAx>
      <c:valAx>
        <c:axId val="604064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0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Age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Table'!$B$42:$B$43</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63-4EBF-B25D-E07D8601AB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63-4EBF-B25D-E07D8601AB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63-4EBF-B25D-E07D8601AB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Table'!$A$44:$A$47</c:f>
              <c:strCache>
                <c:ptCount val="3"/>
                <c:pt idx="0">
                  <c:v>Middle Aged (31-55)</c:v>
                </c:pt>
                <c:pt idx="1">
                  <c:v>Old (56-85)</c:v>
                </c:pt>
                <c:pt idx="2">
                  <c:v>Young (0-31)</c:v>
                </c:pt>
              </c:strCache>
            </c:strRef>
          </c:cat>
          <c:val>
            <c:numRef>
              <c:f>'Pivot Table'!$B$44:$B$47</c:f>
              <c:numCache>
                <c:formatCode>General</c:formatCode>
                <c:ptCount val="3"/>
                <c:pt idx="0">
                  <c:v>331</c:v>
                </c:pt>
                <c:pt idx="1">
                  <c:v>117</c:v>
                </c:pt>
                <c:pt idx="2">
                  <c:v>71</c:v>
                </c:pt>
              </c:numCache>
            </c:numRef>
          </c:val>
          <c:extLst>
            <c:ext xmlns:c16="http://schemas.microsoft.com/office/drawing/2014/chart" uri="{C3380CC4-5D6E-409C-BE32-E72D297353CC}">
              <c16:uniqueId val="{00000006-C263-4EBF-B25D-E07D8601ABFA}"/>
            </c:ext>
          </c:extLst>
        </c:ser>
        <c:ser>
          <c:idx val="1"/>
          <c:order val="1"/>
          <c:tx>
            <c:strRef>
              <c:f>'Pivot Table'!$C$42:$C$43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C263-4EBF-B25D-E07D8601AB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C263-4EBF-B25D-E07D8601AB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C263-4EBF-B25D-E07D8601AB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Table'!$A$44:$A$47</c:f>
              <c:strCache>
                <c:ptCount val="3"/>
                <c:pt idx="0">
                  <c:v>Middle Aged (31-55)</c:v>
                </c:pt>
                <c:pt idx="1">
                  <c:v>Old (56-85)</c:v>
                </c:pt>
                <c:pt idx="2">
                  <c:v>Young (0-31)</c:v>
                </c:pt>
              </c:strCache>
            </c:strRef>
          </c:cat>
          <c:val>
            <c:numRef>
              <c:f>'Pivot Table'!$C$44:$C$47</c:f>
              <c:numCache>
                <c:formatCode>General</c:formatCode>
                <c:ptCount val="3"/>
                <c:pt idx="0">
                  <c:v>388</c:v>
                </c:pt>
                <c:pt idx="1">
                  <c:v>54</c:v>
                </c:pt>
                <c:pt idx="2">
                  <c:v>39</c:v>
                </c:pt>
              </c:numCache>
            </c:numRef>
          </c:val>
          <c:extLst>
            <c:ext xmlns:c16="http://schemas.microsoft.com/office/drawing/2014/chart" uri="{C3380CC4-5D6E-409C-BE32-E72D297353CC}">
              <c16:uniqueId val="{0000000D-C263-4EBF-B25D-E07D8601ABF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Wise Bikes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Table'!$B$57:$B$58</c:f>
              <c:strCache>
                <c:ptCount val="1"/>
                <c:pt idx="0">
                  <c:v>No</c:v>
                </c:pt>
              </c:strCache>
            </c:strRef>
          </c:tx>
          <c:spPr>
            <a:solidFill>
              <a:schemeClr val="accent1"/>
            </a:solidFill>
            <a:ln>
              <a:noFill/>
            </a:ln>
            <a:effectLst/>
          </c:spPr>
          <c:invertIfNegative val="0"/>
          <c:cat>
            <c:strRef>
              <c:f>'Pivot 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Table'!$B$59:$B$112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extLst>
            <c:ext xmlns:c16="http://schemas.microsoft.com/office/drawing/2014/chart" uri="{C3380CC4-5D6E-409C-BE32-E72D297353CC}">
              <c16:uniqueId val="{00000000-A87B-4EC3-B4C9-FF49D4EA0500}"/>
            </c:ext>
          </c:extLst>
        </c:ser>
        <c:ser>
          <c:idx val="1"/>
          <c:order val="1"/>
          <c:tx>
            <c:strRef>
              <c:f>'Pivot Table'!$C$57:$C$58</c:f>
              <c:strCache>
                <c:ptCount val="1"/>
                <c:pt idx="0">
                  <c:v>Yes</c:v>
                </c:pt>
              </c:strCache>
            </c:strRef>
          </c:tx>
          <c:spPr>
            <a:solidFill>
              <a:schemeClr val="accent2"/>
            </a:solidFill>
            <a:ln>
              <a:noFill/>
            </a:ln>
            <a:effectLst/>
          </c:spPr>
          <c:invertIfNegative val="0"/>
          <c:cat>
            <c:strRef>
              <c:f>'Pivot 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Table'!$C$59:$C$112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extLst>
            <c:ext xmlns:c16="http://schemas.microsoft.com/office/drawing/2014/chart" uri="{C3380CC4-5D6E-409C-BE32-E72D297353CC}">
              <c16:uniqueId val="{00000001-A87B-4EC3-B4C9-FF49D4EA0500}"/>
            </c:ext>
          </c:extLst>
        </c:ser>
        <c:dLbls>
          <c:showLegendKey val="0"/>
          <c:showVal val="0"/>
          <c:showCatName val="0"/>
          <c:showSerName val="0"/>
          <c:showPercent val="0"/>
          <c:showBubbleSize val="0"/>
        </c:dLbls>
        <c:gapWidth val="150"/>
        <c:overlap val="100"/>
        <c:axId val="607116175"/>
        <c:axId val="604105359"/>
      </c:barChart>
      <c:catAx>
        <c:axId val="607116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05359"/>
        <c:crosses val="autoZero"/>
        <c:auto val="1"/>
        <c:lblAlgn val="ctr"/>
        <c:lblOffset val="100"/>
        <c:noMultiLvlLbl val="0"/>
      </c:catAx>
      <c:valAx>
        <c:axId val="604105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1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182886</xdr:colOff>
      <xdr:row>1</xdr:row>
      <xdr:rowOff>0</xdr:rowOff>
    </xdr:from>
    <xdr:to>
      <xdr:col>11</xdr:col>
      <xdr:colOff>0</xdr:colOff>
      <xdr:row>17</xdr:row>
      <xdr:rowOff>0</xdr:rowOff>
    </xdr:to>
    <xdr:graphicFrame macro="">
      <xdr:nvGraphicFramePr>
        <xdr:cNvPr id="2" name="Chart 1">
          <a:extLst>
            <a:ext uri="{FF2B5EF4-FFF2-40B4-BE49-F238E27FC236}">
              <a16:creationId xmlns:a16="http://schemas.microsoft.com/office/drawing/2014/main" id="{1C29C0E5-F9E3-EB4D-6BEF-F4DEBF2C8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213360</xdr:colOff>
      <xdr:row>21</xdr:row>
      <xdr:rowOff>15240</xdr:rowOff>
    </xdr:from>
    <xdr:to>
      <xdr:col>13</xdr:col>
      <xdr:colOff>441960</xdr:colOff>
      <xdr:row>37</xdr:row>
      <xdr:rowOff>0</xdr:rowOff>
    </xdr:to>
    <xdr:graphicFrame macro="">
      <xdr:nvGraphicFramePr>
        <xdr:cNvPr id="3" name="Chart 2">
          <a:extLst>
            <a:ext uri="{FF2B5EF4-FFF2-40B4-BE49-F238E27FC236}">
              <a16:creationId xmlns:a16="http://schemas.microsoft.com/office/drawing/2014/main" id="{370C3C5F-2E31-50E8-39AF-FCB7F32B5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441966</xdr:colOff>
      <xdr:row>39</xdr:row>
      <xdr:rowOff>179070</xdr:rowOff>
    </xdr:from>
    <xdr:to>
      <xdr:col>12</xdr:col>
      <xdr:colOff>137166</xdr:colOff>
      <xdr:row>54</xdr:row>
      <xdr:rowOff>175260</xdr:rowOff>
    </xdr:to>
    <xdr:graphicFrame macro="">
      <xdr:nvGraphicFramePr>
        <xdr:cNvPr id="4" name="Chart 3">
          <a:extLst>
            <a:ext uri="{FF2B5EF4-FFF2-40B4-BE49-F238E27FC236}">
              <a16:creationId xmlns:a16="http://schemas.microsoft.com/office/drawing/2014/main" id="{42C4AC02-232E-61A7-7FAC-E8CEFBB61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403866</xdr:colOff>
      <xdr:row>55</xdr:row>
      <xdr:rowOff>179070</xdr:rowOff>
    </xdr:from>
    <xdr:to>
      <xdr:col>17</xdr:col>
      <xdr:colOff>7620</xdr:colOff>
      <xdr:row>79</xdr:row>
      <xdr:rowOff>175260</xdr:rowOff>
    </xdr:to>
    <xdr:graphicFrame macro="">
      <xdr:nvGraphicFramePr>
        <xdr:cNvPr id="5" name="Chart 4">
          <a:extLst>
            <a:ext uri="{FF2B5EF4-FFF2-40B4-BE49-F238E27FC236}">
              <a16:creationId xmlns:a16="http://schemas.microsoft.com/office/drawing/2014/main" id="{169781B0-D844-8011-776D-F083D0510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40044</xdr:colOff>
      <xdr:row>11</xdr:row>
      <xdr:rowOff>76200</xdr:rowOff>
    </xdr:from>
    <xdr:to>
      <xdr:col>10</xdr:col>
      <xdr:colOff>25400</xdr:colOff>
      <xdr:row>27</xdr:row>
      <xdr:rowOff>127001</xdr:rowOff>
    </xdr:to>
    <xdr:graphicFrame macro="">
      <xdr:nvGraphicFramePr>
        <xdr:cNvPr id="2" name="Chart 1">
          <a:extLst>
            <a:ext uri="{FF2B5EF4-FFF2-40B4-BE49-F238E27FC236}">
              <a16:creationId xmlns:a16="http://schemas.microsoft.com/office/drawing/2014/main" id="{C1F75B12-5DE2-4A0D-B5AD-C38039A6A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104301</xdr:colOff>
      <xdr:row>11</xdr:row>
      <xdr:rowOff>102951</xdr:rowOff>
    </xdr:from>
    <xdr:to>
      <xdr:col>25</xdr:col>
      <xdr:colOff>495300</xdr:colOff>
      <xdr:row>27</xdr:row>
      <xdr:rowOff>127000</xdr:rowOff>
    </xdr:to>
    <xdr:graphicFrame macro="">
      <xdr:nvGraphicFramePr>
        <xdr:cNvPr id="3" name="Chart 2">
          <a:extLst>
            <a:ext uri="{FF2B5EF4-FFF2-40B4-BE49-F238E27FC236}">
              <a16:creationId xmlns:a16="http://schemas.microsoft.com/office/drawing/2014/main" id="{6A42FFB2-6D65-4F71-8888-BD5D12F35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16213</xdr:colOff>
      <xdr:row>29</xdr:row>
      <xdr:rowOff>144943</xdr:rowOff>
    </xdr:from>
    <xdr:to>
      <xdr:col>9</xdr:col>
      <xdr:colOff>162128</xdr:colOff>
      <xdr:row>57</xdr:row>
      <xdr:rowOff>97277</xdr:rowOff>
    </xdr:to>
    <xdr:graphicFrame macro="">
      <xdr:nvGraphicFramePr>
        <xdr:cNvPr id="4" name="Chart 3">
          <a:extLst>
            <a:ext uri="{FF2B5EF4-FFF2-40B4-BE49-F238E27FC236}">
              <a16:creationId xmlns:a16="http://schemas.microsoft.com/office/drawing/2014/main" id="{810F718C-8C8A-4442-87A9-5F4262D7D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113490</xdr:colOff>
      <xdr:row>29</xdr:row>
      <xdr:rowOff>113490</xdr:rowOff>
    </xdr:from>
    <xdr:to>
      <xdr:col>26</xdr:col>
      <xdr:colOff>68905</xdr:colOff>
      <xdr:row>57</xdr:row>
      <xdr:rowOff>110410</xdr:rowOff>
    </xdr:to>
    <xdr:graphicFrame macro="">
      <xdr:nvGraphicFramePr>
        <xdr:cNvPr id="5" name="Chart 4">
          <a:extLst>
            <a:ext uri="{FF2B5EF4-FFF2-40B4-BE49-F238E27FC236}">
              <a16:creationId xmlns:a16="http://schemas.microsoft.com/office/drawing/2014/main" id="{047E89A2-FC60-4A0A-A61D-9631AC69B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271787</xdr:colOff>
      <xdr:row>30</xdr:row>
      <xdr:rowOff>110889</xdr:rowOff>
    </xdr:from>
    <xdr:to>
      <xdr:col>31</xdr:col>
      <xdr:colOff>381000</xdr:colOff>
      <xdr:row>35</xdr:row>
      <xdr:rowOff>119135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F4D73B7-40AE-7443-8CD5-75FBCA99579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199081" y="5489713"/>
              <a:ext cx="3172154" cy="904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239868</xdr:colOff>
      <xdr:row>11</xdr:row>
      <xdr:rowOff>151816</xdr:rowOff>
    </xdr:from>
    <xdr:to>
      <xdr:col>31</xdr:col>
      <xdr:colOff>198783</xdr:colOff>
      <xdr:row>20</xdr:row>
      <xdr:rowOff>179268</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8DE62FE-8D23-307D-4F45-1EF718F64C0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6167162" y="2124051"/>
              <a:ext cx="3021856" cy="164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235226</xdr:colOff>
      <xdr:row>22</xdr:row>
      <xdr:rowOff>47326</xdr:rowOff>
    </xdr:from>
    <xdr:to>
      <xdr:col>31</xdr:col>
      <xdr:colOff>281609</xdr:colOff>
      <xdr:row>28</xdr:row>
      <xdr:rowOff>165652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55B171F-F64B-4C99-A2C9-4FB694941C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162520" y="3991797"/>
              <a:ext cx="3109324" cy="1194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377317</xdr:colOff>
      <xdr:row>0</xdr:row>
      <xdr:rowOff>0</xdr:rowOff>
    </xdr:from>
    <xdr:to>
      <xdr:col>34</xdr:col>
      <xdr:colOff>237066</xdr:colOff>
      <xdr:row>8</xdr:row>
      <xdr:rowOff>16934</xdr:rowOff>
    </xdr:to>
    <xdr:sp macro="" textlink="">
      <xdr:nvSpPr>
        <xdr:cNvPr id="11" name="TextBox 10">
          <a:extLst>
            <a:ext uri="{FF2B5EF4-FFF2-40B4-BE49-F238E27FC236}">
              <a16:creationId xmlns:a16="http://schemas.microsoft.com/office/drawing/2014/main" id="{AA3BFE35-596B-A498-DF78-DDE94D9570E0}"/>
            </a:ext>
          </a:extLst>
        </xdr:cNvPr>
        <xdr:cNvSpPr txBox="1"/>
      </xdr:nvSpPr>
      <xdr:spPr>
        <a:xfrm>
          <a:off x="5254117" y="0"/>
          <a:ext cx="15709349" cy="1507067"/>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rtl="0"/>
          <a:r>
            <a:rPr lang="en-IN" sz="2500">
              <a:latin typeface="Britannic Bold" panose="020B0903060703020204" pitchFamily="34" charset="0"/>
            </a:rPr>
            <a:t>Bike buyers have a higher average income than non-buyers for both genders.</a:t>
          </a:r>
        </a:p>
        <a:p>
          <a:pPr lvl="0" rtl="0"/>
          <a:r>
            <a:rPr lang="en-IN" sz="2500">
              <a:latin typeface="Britannic Bold" panose="020B0903060703020204" pitchFamily="34" charset="0"/>
            </a:rPr>
            <a:t>Middle-aged customers (31-55) are the largest group, at 331 customers.</a:t>
          </a:r>
        </a:p>
        <a:p>
          <a:pPr lvl="0" rtl="0"/>
          <a:r>
            <a:rPr lang="en-IN" sz="2500">
              <a:latin typeface="Britannic Bold" panose="020B0903060703020204" pitchFamily="34" charset="0"/>
            </a:rPr>
            <a:t>Commute distance has a mixed effect: buyers lead at 0-1 miles, but non-buyers lead at 1-2 and 5-10 miles.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1.742751736114" createdVersion="8" refreshedVersion="8" minRefreshableVersion="3" recordCount="1000" xr:uid="{BEF002CB-8517-4A3C-9130-D4EF952F3B9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d (31-55)"/>
        <s v="Old (56-85)"/>
        <s v="Young (0-31)"/>
        <s v="Middle Aged" u="1"/>
        <s v="Old"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6601014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06391F-2035-47BB-B07E-B89A79BB81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7:D11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2C0A30-8CC9-4969-B355-534E54C21C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3"/>
        <item m="1" x="4"/>
        <item m="1" x="5"/>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3"/>
          </reference>
          <reference field="13" count="1" selected="0">
            <x v="0"/>
          </reference>
        </references>
      </pivotArea>
    </chartFormat>
    <chartFormat chart="2" format="12">
      <pivotArea type="data" outline="0" fieldPosition="0">
        <references count="3">
          <reference field="4294967294" count="1" selected="0">
            <x v="0"/>
          </reference>
          <reference field="12" count="1" selected="0">
            <x v="4"/>
          </reference>
          <reference field="13" count="1" selected="0">
            <x v="0"/>
          </reference>
        </references>
      </pivotArea>
    </chartFormat>
    <chartFormat chart="2" format="13">
      <pivotArea type="data" outline="0" fieldPosition="0">
        <references count="3">
          <reference field="4294967294" count="1" selected="0">
            <x v="0"/>
          </reference>
          <reference field="12" count="1" selected="0">
            <x v="5"/>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3"/>
          </reference>
          <reference field="13" count="1" selected="0">
            <x v="1"/>
          </reference>
        </references>
      </pivotArea>
    </chartFormat>
    <chartFormat chart="2" format="16">
      <pivotArea type="data" outline="0" fieldPosition="0">
        <references count="3">
          <reference field="4294967294" count="1" selected="0">
            <x v="0"/>
          </reference>
          <reference field="12" count="1" selected="0">
            <x v="4"/>
          </reference>
          <reference field="13" count="1" selected="0">
            <x v="1"/>
          </reference>
        </references>
      </pivotArea>
    </chartFormat>
    <chartFormat chart="2" format="17">
      <pivotArea type="data" outline="0" fieldPosition="0">
        <references count="3">
          <reference field="4294967294" count="1" selected="0">
            <x v="0"/>
          </reference>
          <reference field="12" count="1" selected="0">
            <x v="5"/>
          </reference>
          <reference field="13" count="1" selected="0">
            <x v="1"/>
          </reference>
        </references>
      </pivotArea>
    </chartFormat>
    <chartFormat chart="0" format="2">
      <pivotArea type="data" outline="0" fieldPosition="0">
        <references count="3">
          <reference field="4294967294" count="1" selected="0">
            <x v="0"/>
          </reference>
          <reference field="12" count="1" selected="0">
            <x v="3"/>
          </reference>
          <reference field="13" count="1" selected="0">
            <x v="0"/>
          </reference>
        </references>
      </pivotArea>
    </chartFormat>
    <chartFormat chart="0" format="3">
      <pivotArea type="data" outline="0" fieldPosition="0">
        <references count="3">
          <reference field="4294967294" count="1" selected="0">
            <x v="0"/>
          </reference>
          <reference field="12" count="1" selected="0">
            <x v="4"/>
          </reference>
          <reference field="13" count="1" selected="0">
            <x v="0"/>
          </reference>
        </references>
      </pivotArea>
    </chartFormat>
    <chartFormat chart="0" format="4">
      <pivotArea type="data" outline="0" fieldPosition="0">
        <references count="3">
          <reference field="4294967294" count="1" selected="0">
            <x v="0"/>
          </reference>
          <reference field="12" count="1" selected="0">
            <x v="5"/>
          </reference>
          <reference field="13" count="1" selected="0">
            <x v="0"/>
          </reference>
        </references>
      </pivotArea>
    </chartFormat>
    <chartFormat chart="0" format="5">
      <pivotArea type="data" outline="0" fieldPosition="0">
        <references count="3">
          <reference field="4294967294" count="1" selected="0">
            <x v="0"/>
          </reference>
          <reference field="12" count="1" selected="0">
            <x v="3"/>
          </reference>
          <reference field="13" count="1" selected="0">
            <x v="1"/>
          </reference>
        </references>
      </pivotArea>
    </chartFormat>
    <chartFormat chart="0" format="6">
      <pivotArea type="data" outline="0" fieldPosition="0">
        <references count="3">
          <reference field="4294967294" count="1" selected="0">
            <x v="0"/>
          </reference>
          <reference field="12" count="1" selected="0">
            <x v="4"/>
          </reference>
          <reference field="13" count="1" selected="0">
            <x v="1"/>
          </reference>
        </references>
      </pivotArea>
    </chartFormat>
    <chartFormat chart="0" format="7">
      <pivotArea type="data" outline="0" fieldPosition="0">
        <references count="3">
          <reference field="4294967294" count="1" selected="0">
            <x v="0"/>
          </reference>
          <reference field="12" count="1" selected="0">
            <x v="5"/>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A7AE6A-9DD3-488E-A222-F34F0F846B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D3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5E1E08-9F2D-42CA-B1D3-321C5DDBE5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AEF64FD-09D1-4C39-9F98-A68C4BAE7019}" sourceName="Marital Status">
  <pivotTables>
    <pivotTable tabId="3" name="PivotTable1"/>
    <pivotTable tabId="3" name="PivotTable2"/>
    <pivotTable tabId="3" name="PivotTable3"/>
    <pivotTable tabId="3" name="PivotTable4"/>
  </pivotTables>
  <data>
    <tabular pivotCacheId="6601014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B8D5541-1606-4607-AD9F-D108E33D8A02}" sourceName="Education">
  <pivotTables>
    <pivotTable tabId="3" name="PivotTable2"/>
    <pivotTable tabId="3" name="PivotTable1"/>
    <pivotTable tabId="3" name="PivotTable3"/>
    <pivotTable tabId="3" name="PivotTable4"/>
  </pivotTables>
  <data>
    <tabular pivotCacheId="66010148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252003-5B90-4F11-8CF8-BB449EDCB45A}" sourceName="Region">
  <pivotTables>
    <pivotTable tabId="3" name="PivotTable2"/>
    <pivotTable tabId="3" name="PivotTable1"/>
    <pivotTable tabId="3" name="PivotTable3"/>
    <pivotTable tabId="3" name="PivotTable4"/>
  </pivotTables>
  <data>
    <tabular pivotCacheId="66010148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6032143-C363-43A4-992F-71B7912474EB}" cache="Slicer_Marital_Status" caption="Marital Status" rowHeight="234950"/>
  <slicer name="Education" xr10:uid="{FE08EBAE-4B8D-4F34-93B8-5331F4B403E6}" cache="Slicer_Education" caption="Education" rowHeight="234950"/>
  <slicer name="Region" xr10:uid="{7C54529A-C54E-4D04-B2E8-6F8A2FD2AEC8}"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election activeCell="O20" sqref="O2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3EE85-4496-4B37-A60D-42F30CF9FECA}">
  <dimension ref="A1:O1001"/>
  <sheetViews>
    <sheetView topLeftCell="I57" workbookViewId="0">
      <selection activeCell="O2" sqref="O2"/>
    </sheetView>
  </sheetViews>
  <sheetFormatPr defaultColWidth="11.88671875" defaultRowHeight="14.4" x14ac:dyDescent="0.3"/>
  <cols>
    <col min="2" max="2" width="19" customWidth="1"/>
    <col min="4" max="4" width="12.5546875" style="3" bestFit="1" customWidth="1"/>
    <col min="13" max="13" width="26.44140625" customWidth="1"/>
    <col min="14" max="14" width="15.44140625" customWidth="1"/>
    <col min="15" max="15" width="21.88671875" customWidth="1"/>
  </cols>
  <sheetData>
    <row r="1" spans="1:15" x14ac:dyDescent="0.3">
      <c r="A1" t="s">
        <v>0</v>
      </c>
      <c r="B1" t="s">
        <v>1</v>
      </c>
      <c r="C1" t="s">
        <v>2</v>
      </c>
      <c r="D1" s="3" t="s">
        <v>3</v>
      </c>
      <c r="E1" t="s">
        <v>4</v>
      </c>
      <c r="F1" t="s">
        <v>5</v>
      </c>
      <c r="G1" t="s">
        <v>6</v>
      </c>
      <c r="H1" t="s">
        <v>7</v>
      </c>
      <c r="I1" t="s">
        <v>8</v>
      </c>
      <c r="J1" t="s">
        <v>9</v>
      </c>
      <c r="K1" t="s">
        <v>10</v>
      </c>
      <c r="L1" t="s">
        <v>11</v>
      </c>
      <c r="M1" t="s">
        <v>40</v>
      </c>
      <c r="N1" t="s">
        <v>12</v>
      </c>
      <c r="O1" t="s">
        <v>52</v>
      </c>
    </row>
    <row r="2" spans="1:15" x14ac:dyDescent="0.3">
      <c r="A2">
        <v>12496</v>
      </c>
      <c r="B2" t="s">
        <v>36</v>
      </c>
      <c r="C2" t="s">
        <v>38</v>
      </c>
      <c r="D2" s="3">
        <v>40000</v>
      </c>
      <c r="E2">
        <v>1</v>
      </c>
      <c r="F2" t="s">
        <v>13</v>
      </c>
      <c r="G2" t="s">
        <v>14</v>
      </c>
      <c r="H2" t="s">
        <v>15</v>
      </c>
      <c r="I2">
        <v>0</v>
      </c>
      <c r="J2" t="s">
        <v>16</v>
      </c>
      <c r="K2" t="s">
        <v>17</v>
      </c>
      <c r="L2">
        <v>42</v>
      </c>
      <c r="M2" t="str">
        <f>IF(L2&gt;55,"Old (56-85)",IF(L2&gt;=31,"Middle Aged (31-55)",IF(L2&lt;31,"Young (0-31)","Adult")))</f>
        <v>Middle Aged (31-55)</v>
      </c>
      <c r="N2" t="s">
        <v>18</v>
      </c>
    </row>
    <row r="3" spans="1:15" x14ac:dyDescent="0.3">
      <c r="A3">
        <v>24107</v>
      </c>
      <c r="B3" t="s">
        <v>36</v>
      </c>
      <c r="C3" t="s">
        <v>39</v>
      </c>
      <c r="D3" s="3">
        <v>30000</v>
      </c>
      <c r="E3">
        <v>3</v>
      </c>
      <c r="F3" t="s">
        <v>19</v>
      </c>
      <c r="G3" t="s">
        <v>20</v>
      </c>
      <c r="H3" t="s">
        <v>15</v>
      </c>
      <c r="I3">
        <v>1</v>
      </c>
      <c r="J3" t="s">
        <v>16</v>
      </c>
      <c r="K3" t="s">
        <v>17</v>
      </c>
      <c r="L3">
        <v>43</v>
      </c>
      <c r="M3" t="str">
        <f t="shared" ref="M3:M66" si="0">IF(L3&gt;55,"Old (56-85)",IF(L3&gt;=31,"Middle Aged (31-55)",IF(L3&lt;31,"Young (0-31)","Adult")))</f>
        <v>Middle Aged (31-55)</v>
      </c>
      <c r="N3" t="s">
        <v>18</v>
      </c>
    </row>
    <row r="4" spans="1:15" x14ac:dyDescent="0.3">
      <c r="A4">
        <v>14177</v>
      </c>
      <c r="B4" t="s">
        <v>36</v>
      </c>
      <c r="C4" t="s">
        <v>39</v>
      </c>
      <c r="D4" s="3">
        <v>80000</v>
      </c>
      <c r="E4">
        <v>5</v>
      </c>
      <c r="F4" t="s">
        <v>19</v>
      </c>
      <c r="G4" t="s">
        <v>21</v>
      </c>
      <c r="H4" t="s">
        <v>18</v>
      </c>
      <c r="I4">
        <v>2</v>
      </c>
      <c r="J4" t="s">
        <v>22</v>
      </c>
      <c r="K4" t="s">
        <v>17</v>
      </c>
      <c r="L4">
        <v>60</v>
      </c>
      <c r="M4" t="str">
        <f t="shared" si="0"/>
        <v>Old (56-85)</v>
      </c>
      <c r="N4" t="s">
        <v>18</v>
      </c>
    </row>
    <row r="5" spans="1:15" x14ac:dyDescent="0.3">
      <c r="A5">
        <v>24381</v>
      </c>
      <c r="B5" t="s">
        <v>37</v>
      </c>
      <c r="C5" t="s">
        <v>39</v>
      </c>
      <c r="D5" s="3">
        <v>70000</v>
      </c>
      <c r="E5">
        <v>0</v>
      </c>
      <c r="F5" t="s">
        <v>13</v>
      </c>
      <c r="G5" t="s">
        <v>21</v>
      </c>
      <c r="H5" t="s">
        <v>15</v>
      </c>
      <c r="I5">
        <v>1</v>
      </c>
      <c r="J5" t="s">
        <v>23</v>
      </c>
      <c r="K5" t="s">
        <v>24</v>
      </c>
      <c r="L5">
        <v>41</v>
      </c>
      <c r="M5" t="str">
        <f t="shared" si="0"/>
        <v>Middle Aged (31-55)</v>
      </c>
      <c r="N5" t="s">
        <v>15</v>
      </c>
    </row>
    <row r="6" spans="1:15" x14ac:dyDescent="0.3">
      <c r="A6">
        <v>25597</v>
      </c>
      <c r="B6" t="s">
        <v>37</v>
      </c>
      <c r="C6" t="s">
        <v>39</v>
      </c>
      <c r="D6" s="3">
        <v>30000</v>
      </c>
      <c r="E6">
        <v>0</v>
      </c>
      <c r="F6" t="s">
        <v>13</v>
      </c>
      <c r="G6" t="s">
        <v>20</v>
      </c>
      <c r="H6" t="s">
        <v>18</v>
      </c>
      <c r="I6">
        <v>0</v>
      </c>
      <c r="J6" t="s">
        <v>16</v>
      </c>
      <c r="K6" t="s">
        <v>17</v>
      </c>
      <c r="L6">
        <v>36</v>
      </c>
      <c r="M6" t="str">
        <f t="shared" si="0"/>
        <v>Middle Aged (31-55)</v>
      </c>
      <c r="N6" t="s">
        <v>15</v>
      </c>
    </row>
    <row r="7" spans="1:15" x14ac:dyDescent="0.3">
      <c r="A7">
        <v>13507</v>
      </c>
      <c r="B7" t="s">
        <v>36</v>
      </c>
      <c r="C7" t="s">
        <v>38</v>
      </c>
      <c r="D7" s="3">
        <v>10000</v>
      </c>
      <c r="E7">
        <v>2</v>
      </c>
      <c r="F7" t="s">
        <v>19</v>
      </c>
      <c r="G7" t="s">
        <v>25</v>
      </c>
      <c r="H7" t="s">
        <v>15</v>
      </c>
      <c r="I7">
        <v>0</v>
      </c>
      <c r="J7" t="s">
        <v>26</v>
      </c>
      <c r="K7" t="s">
        <v>17</v>
      </c>
      <c r="L7">
        <v>50</v>
      </c>
      <c r="M7" t="str">
        <f t="shared" si="0"/>
        <v>Middle Aged (31-55)</v>
      </c>
      <c r="N7" t="s">
        <v>18</v>
      </c>
    </row>
    <row r="8" spans="1:15" x14ac:dyDescent="0.3">
      <c r="A8">
        <v>27974</v>
      </c>
      <c r="B8" t="s">
        <v>37</v>
      </c>
      <c r="C8" t="s">
        <v>39</v>
      </c>
      <c r="D8" s="3">
        <v>160000</v>
      </c>
      <c r="E8">
        <v>2</v>
      </c>
      <c r="F8" t="s">
        <v>27</v>
      </c>
      <c r="G8" t="s">
        <v>28</v>
      </c>
      <c r="H8" t="s">
        <v>15</v>
      </c>
      <c r="I8">
        <v>4</v>
      </c>
      <c r="J8" t="s">
        <v>16</v>
      </c>
      <c r="K8" t="s">
        <v>24</v>
      </c>
      <c r="L8">
        <v>33</v>
      </c>
      <c r="M8" t="str">
        <f t="shared" si="0"/>
        <v>Middle Aged (31-55)</v>
      </c>
      <c r="N8" t="s">
        <v>15</v>
      </c>
    </row>
    <row r="9" spans="1:15" x14ac:dyDescent="0.3">
      <c r="A9">
        <v>19364</v>
      </c>
      <c r="B9" t="s">
        <v>36</v>
      </c>
      <c r="C9" t="s">
        <v>39</v>
      </c>
      <c r="D9" s="3">
        <v>40000</v>
      </c>
      <c r="E9">
        <v>1</v>
      </c>
      <c r="F9" t="s">
        <v>13</v>
      </c>
      <c r="G9" t="s">
        <v>14</v>
      </c>
      <c r="H9" t="s">
        <v>15</v>
      </c>
      <c r="I9">
        <v>0</v>
      </c>
      <c r="J9" t="s">
        <v>16</v>
      </c>
      <c r="K9" t="s">
        <v>17</v>
      </c>
      <c r="L9">
        <v>43</v>
      </c>
      <c r="M9" t="str">
        <f t="shared" si="0"/>
        <v>Middle Aged (31-55)</v>
      </c>
      <c r="N9" t="s">
        <v>15</v>
      </c>
    </row>
    <row r="10" spans="1:15" x14ac:dyDescent="0.3">
      <c r="A10">
        <v>22155</v>
      </c>
      <c r="B10" t="s">
        <v>36</v>
      </c>
      <c r="C10" t="s">
        <v>39</v>
      </c>
      <c r="D10" s="3">
        <v>20000</v>
      </c>
      <c r="E10">
        <v>2</v>
      </c>
      <c r="F10" t="s">
        <v>29</v>
      </c>
      <c r="G10" t="s">
        <v>20</v>
      </c>
      <c r="H10" t="s">
        <v>15</v>
      </c>
      <c r="I10">
        <v>2</v>
      </c>
      <c r="J10" t="s">
        <v>23</v>
      </c>
      <c r="K10" t="s">
        <v>24</v>
      </c>
      <c r="L10">
        <v>58</v>
      </c>
      <c r="M10" t="str">
        <f t="shared" si="0"/>
        <v>Old (56-85)</v>
      </c>
      <c r="N10" t="s">
        <v>18</v>
      </c>
    </row>
    <row r="11" spans="1:15" x14ac:dyDescent="0.3">
      <c r="A11">
        <v>19280</v>
      </c>
      <c r="B11" t="s">
        <v>36</v>
      </c>
      <c r="C11" t="s">
        <v>39</v>
      </c>
      <c r="D11" s="3">
        <v>120000</v>
      </c>
      <c r="E11">
        <v>2</v>
      </c>
      <c r="F11" t="s">
        <v>19</v>
      </c>
      <c r="G11" t="s">
        <v>25</v>
      </c>
      <c r="H11" t="s">
        <v>15</v>
      </c>
      <c r="I11">
        <v>1</v>
      </c>
      <c r="J11" t="s">
        <v>16</v>
      </c>
      <c r="K11" t="s">
        <v>17</v>
      </c>
      <c r="L11">
        <v>40</v>
      </c>
      <c r="M11" t="str">
        <f t="shared" si="0"/>
        <v>Middle Aged (31-55)</v>
      </c>
      <c r="N11" t="s">
        <v>15</v>
      </c>
    </row>
    <row r="12" spans="1:15" x14ac:dyDescent="0.3">
      <c r="A12">
        <v>22173</v>
      </c>
      <c r="B12" t="s">
        <v>36</v>
      </c>
      <c r="C12" t="s">
        <v>38</v>
      </c>
      <c r="D12" s="3">
        <v>30000</v>
      </c>
      <c r="E12">
        <v>3</v>
      </c>
      <c r="F12" t="s">
        <v>27</v>
      </c>
      <c r="G12" t="s">
        <v>14</v>
      </c>
      <c r="H12" t="s">
        <v>18</v>
      </c>
      <c r="I12">
        <v>2</v>
      </c>
      <c r="J12" t="s">
        <v>26</v>
      </c>
      <c r="K12" t="s">
        <v>24</v>
      </c>
      <c r="L12">
        <v>54</v>
      </c>
      <c r="M12" t="str">
        <f t="shared" si="0"/>
        <v>Middle Aged (31-55)</v>
      </c>
      <c r="N12" t="s">
        <v>15</v>
      </c>
    </row>
    <row r="13" spans="1:15" x14ac:dyDescent="0.3">
      <c r="A13">
        <v>12697</v>
      </c>
      <c r="B13" t="s">
        <v>37</v>
      </c>
      <c r="C13" t="s">
        <v>38</v>
      </c>
      <c r="D13" s="3">
        <v>90000</v>
      </c>
      <c r="E13">
        <v>0</v>
      </c>
      <c r="F13" t="s">
        <v>13</v>
      </c>
      <c r="G13" t="s">
        <v>21</v>
      </c>
      <c r="H13" t="s">
        <v>18</v>
      </c>
      <c r="I13">
        <v>4</v>
      </c>
      <c r="J13" t="s">
        <v>46</v>
      </c>
      <c r="K13" t="s">
        <v>24</v>
      </c>
      <c r="L13">
        <v>36</v>
      </c>
      <c r="M13" t="str">
        <f t="shared" si="0"/>
        <v>Middle Aged (31-55)</v>
      </c>
      <c r="N13" t="s">
        <v>18</v>
      </c>
    </row>
    <row r="14" spans="1:15" x14ac:dyDescent="0.3">
      <c r="A14">
        <v>11434</v>
      </c>
      <c r="B14" t="s">
        <v>36</v>
      </c>
      <c r="C14" t="s">
        <v>39</v>
      </c>
      <c r="D14" s="3">
        <v>170000</v>
      </c>
      <c r="E14">
        <v>5</v>
      </c>
      <c r="F14" t="s">
        <v>19</v>
      </c>
      <c r="G14" t="s">
        <v>21</v>
      </c>
      <c r="H14" t="s">
        <v>15</v>
      </c>
      <c r="I14">
        <v>0</v>
      </c>
      <c r="J14" t="s">
        <v>16</v>
      </c>
      <c r="K14" t="s">
        <v>17</v>
      </c>
      <c r="L14">
        <v>55</v>
      </c>
      <c r="M14" t="str">
        <f t="shared" si="0"/>
        <v>Middle Aged (31-55)</v>
      </c>
      <c r="N14" t="s">
        <v>18</v>
      </c>
    </row>
    <row r="15" spans="1:15" x14ac:dyDescent="0.3">
      <c r="A15">
        <v>25323</v>
      </c>
      <c r="B15" t="s">
        <v>36</v>
      </c>
      <c r="C15" t="s">
        <v>39</v>
      </c>
      <c r="D15" s="3">
        <v>40000</v>
      </c>
      <c r="E15">
        <v>2</v>
      </c>
      <c r="F15" t="s">
        <v>19</v>
      </c>
      <c r="G15" t="s">
        <v>20</v>
      </c>
      <c r="H15" t="s">
        <v>15</v>
      </c>
      <c r="I15">
        <v>1</v>
      </c>
      <c r="J15" t="s">
        <v>26</v>
      </c>
      <c r="K15" t="s">
        <v>17</v>
      </c>
      <c r="L15">
        <v>35</v>
      </c>
      <c r="M15" t="str">
        <f t="shared" si="0"/>
        <v>Middle Aged (31-55)</v>
      </c>
      <c r="N15" t="s">
        <v>15</v>
      </c>
    </row>
    <row r="16" spans="1:15" x14ac:dyDescent="0.3">
      <c r="A16">
        <v>23542</v>
      </c>
      <c r="B16" t="s">
        <v>37</v>
      </c>
      <c r="C16" t="s">
        <v>39</v>
      </c>
      <c r="D16" s="3">
        <v>60000</v>
      </c>
      <c r="E16">
        <v>1</v>
      </c>
      <c r="F16" t="s">
        <v>19</v>
      </c>
      <c r="G16" t="s">
        <v>14</v>
      </c>
      <c r="H16" t="s">
        <v>18</v>
      </c>
      <c r="I16">
        <v>1</v>
      </c>
      <c r="J16" t="s">
        <v>16</v>
      </c>
      <c r="K16" t="s">
        <v>24</v>
      </c>
      <c r="L16">
        <v>45</v>
      </c>
      <c r="M16" t="str">
        <f t="shared" si="0"/>
        <v>Middle Aged (31-55)</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Aged (31-55)</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 (56-85)</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Aged (31-55)</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 (31-55)</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Aged (31-55)</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Aged (31-55)</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Aged (31-55)</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 (31-55)</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 (56-85)</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 (31-55)</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 (56-85)</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Young (0-31)</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Aged (31-55)</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 (31-55)</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Aged (31-55)</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 (56-85)</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Young (0-31)</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Aged (31-55)</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 (31-55)</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 (56-85)</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Aged (31-55)</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Aged (31-55)</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Young (0-31)</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Young (0-31)</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Aged (31-55)</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Aged (31-55)</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 (56-85)</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Aged (31-55)</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Aged (31-55)</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Aged (31-55)</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 (56-85)</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Aged (31-55)</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Aged (31-55)</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 (31-55)</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 (31-55)</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Young (0-31)</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Aged (31-55)</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 (56-85)</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 (56-85)</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Aged (31-55)</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Aged (31-55)</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 (31-55)</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 (56-85)</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Aged (31-55)</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 (31-55)</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Aged (31-55)</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Aged (31-55)</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Aged (31-55)</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Aged (31-55)</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Aged (31-55)</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 (56-85)",IF(L67&gt;=31,"Middle Aged (31-55)",IF(L67&lt;31,"Young (0-31)","Adult")))</f>
        <v>Old (56-85)</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Aged (31-55)</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 (31-55)</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Aged (31-55)</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Young (0-31)</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Aged (31-55)</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Aged (31-55)</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Aged (31-55)</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Aged (31-55)</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 (56-85)</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Aged (31-55)</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Young (0-31)</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Young (0-31)</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 (31-55)</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 (56-85)</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Aged (31-55)</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Aged (31-55)</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 (31-55)</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Young (0-31)</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Aged (31-55)</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Young (0-31)</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Aged (31-55)</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 (31-55)</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Young (0-31)</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 (31-55)</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Young (0-31)</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Young (0-31)</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Aged (31-55)</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Aged (31-55)</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Aged (31-55)</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 (56-85)</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 (31-55)</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 (31-55)</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Young (0-31)</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Aged (31-55)</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 (31-55)</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 (31-55)</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 (31-55)</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 (31-55)</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Aged (31-55)</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Young (0-31)</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Aged (31-55)</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Aged (31-55)</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Aged (31-55)</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 (31-55)</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Aged (31-55)</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Aged (31-55)</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Aged (31-55)</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Aged (31-55)</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Young (0-31)</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Young (0-31)</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Aged (31-55)</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Aged (31-55)</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 (56-85)</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Young (0-31)</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 (56-85)</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 (31-55)</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Aged (31-55)</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 (56-85)</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Aged (31-55)</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 (31-55)</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 (31-55)</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 (31-55)</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Aged (31-55)</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 (56-85)",IF(L131&gt;=31,"Middle Aged (31-55)",IF(L131&lt;31,"Young (0-31)","Adult")))</f>
        <v>Middle Aged (31-55)</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 (31-55)</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 (56-85)</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 (31-55)</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 (56-85)</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Aged (31-55)</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Aged (31-55)</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Aged (31-55)</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 (31-55)</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Aged (31-55)</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 (56-85)</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 (31-55)</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Young (0-31)</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 (31-55)</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Aged (31-55)</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 (31-55)</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Aged (31-55)</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 (31-55)</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Aged (31-55)</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 (56-85)</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Young (0-31)</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 (31-55)</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 (31-55)</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Aged (31-55)</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 (31-55)</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 (31-55)</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Aged (31-55)</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 (56-85)</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 (31-55)</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Aged (31-55)</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Aged (31-55)</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Aged (31-55)</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Aged (31-55)</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Aged (31-55)</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Aged (31-55)</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Young (0-31)</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Young (0-31)</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 (31-55)</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Aged (31-55)</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 (31-55)</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 (31-55)</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 (56-85)</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 (56-85)</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 (31-55)</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Young (0-31)</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 (31-55)</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Aged (31-55)</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Young (0-31)</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Aged (31-55)</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Middle Aged (31-55)</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Aged (31-55)</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 (31-55)</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Aged (31-55)</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Aged (31-55)</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 (56-85)</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 (56-85)</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Aged (31-55)</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 (56-85)</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 (56-85)</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Aged (31-55)</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 (31-55)</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Aged (31-55)</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 (31-55)</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 (56-85)</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IF(L195&gt;55,"Old (56-85)",IF(L195&gt;=31,"Middle Aged (31-55)",IF(L195&lt;31,"Young (0-31)","Adult")))</f>
        <v>Middle Aged (31-55)</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Aged (31-55)</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Young (0-31)</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Aged (31-55)</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 (56-85)</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Aged (31-55)</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Aged (31-55)</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Aged (31-55)</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Young (0-31)</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 (31-55)</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Aged (31-55)</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Aged (31-55)</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 (31-55)</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 (56-85)</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Young (0-31)</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Aged (31-55)</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Aged (31-55)</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Aged (31-55)</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Aged (31-55)</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Young (0-31)</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Aged (31-55)</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 (56-85)</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Aged (31-55)</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Aged (31-55)</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Young (0-31)</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 (31-55)</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Young (0-31)</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 (31-55)</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 (31-55)</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Aged (31-55)</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Aged (31-55)</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 (56-85)</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 (31-55)</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Aged (31-55)</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 (31-55)</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Aged (31-55)</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 (56-85)</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 (56-85)</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Aged (31-55)</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Aged (31-55)</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Young (0-31)</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Aged (31-55)</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 (56-85)</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Aged (31-55)</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Young (0-31)</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 (31-55)</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Aged (31-55)</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 (31-55)</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Young (0-31)</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 (31-55)</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Young (0-31)</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Aged (31-55)</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 (31-55)</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Aged (31-55)</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Aged (31-55)</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 (56-85)</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 (31-55)</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 (56-85)</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Aged (31-55)</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Aged (31-55)</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 (56-85)</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 (56-85)</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Aged (31-55)</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 (31-55)</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 (56-85)",IF(L259&gt;=31,"Middle Aged (31-55)",IF(L259&lt;31,"Young (0-31)","Adult")))</f>
        <v>Middle Aged (31-55)</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 (56-85)</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 (31-55)</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Aged (31-55)</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Aged (31-55)</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Aged (31-55)</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Aged (31-55)</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 (31-55)</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Aged (31-55)</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Young (0-31)</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 (31-55)</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 (31-55)</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Aged (31-55)</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Aged (31-55)</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Young (0-31)</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 (31-55)</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Young (0-31)</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Aged (31-55)</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Aged (31-55)</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Aged (31-55)</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Aged (31-55)</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Aged (31-55)</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 (31-55)</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Aged (31-55)</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 (31-55)</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 (31-55)</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Aged (31-55)</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 (31-55)</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Aged (31-55)</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Aged (31-55)</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Aged (31-55)</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 (31-55)</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Aged (31-55)</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Aged (31-55)</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 (31-55)</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Aged (31-55)</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Aged (31-55)</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 (31-55)</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Aged (31-55)</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Aged (31-55)</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 (31-55)</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Aged (31-55)</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 (56-85)</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 (56-85)</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Young (0-31)</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 (56-85)</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Aged (31-55)</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 (31-55)</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 (56-85)</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 (31-55)</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 (56-85)</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 (31-55)</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Aged (31-55)</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 (31-55)</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 (31-55)</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 (56-85)</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Aged (31-55)</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 (31-55)</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 (31-55)</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 (56-85)</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 (31-55)</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Aged (31-55)</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Aged (31-55)</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 (31-55)</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 (56-85)",IF(L323&gt;=31,"Middle Aged (31-55)",IF(L323&lt;31,"Young (0-31)","Adult")))</f>
        <v>Middle Aged (31-55)</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Aged (31-55)</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Aged (31-55)</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 (31-55)</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 (31-55)</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Young (0-31)</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 (31-55)</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 (31-55)</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 (56-85)</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Aged (31-55)</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Young (0-31)</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Aged (31-55)</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Aged (31-55)</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 (31-55)</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 (31-55)</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 (31-55)</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 (31-55)</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Aged (31-55)</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 (56-85)</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Young (0-31)</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Aged (31-55)</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 (31-55)</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Aged (31-55)</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Aged (31-55)</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Aged (31-55)</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 (31-55)</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Aged (31-55)</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 (31-55)</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Young (0-31)</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Young (0-31)</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 (31-55)</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Aged (31-55)</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 (31-55)</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 (31-55)</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Aged (31-55)</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Aged (31-55)</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Aged (31-55)</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 (56-85)</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Young (0-31)</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 (31-55)</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Young (0-31)</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 (31-55)</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 (56-85)</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Aged (31-55)</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Aged (31-55)</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 (31-55)</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Aged (31-55)</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 (56-85)</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Aged (31-55)</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Aged (31-55)</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 (31-55)</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 (31-55)</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Young (0-31)</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Aged (31-55)</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 (56-85)</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 (56-85)</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Aged (31-55)</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 (56-85)</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 (31-55)</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Young (0-31)</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 (56-85)</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Aged (31-55)</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 (31-55)</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Young (0-31)</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 (56-85)",IF(L387&gt;=31,"Middle Aged (31-55)",IF(L387&lt;31,"Young (0-31)","Adult")))</f>
        <v>Middle Aged (31-55)</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Aged (31-55)</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Aged (31-55)</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 (56-85)</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Aged (31-55)</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 (31-55)</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Aged (31-55)</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Aged (31-55)</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Aged (31-55)</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Aged (31-55)</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 (31-55)</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 (31-55)</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 (56-85)</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 (31-55)</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Aged (31-55)</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Aged (31-55)</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 (56-85)</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 (31-55)</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 (31-55)</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Aged (31-55)</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Aged (31-55)</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Aged (31-55)</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Aged (31-55)</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Aged (31-55)</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Aged (31-55)</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Aged (31-55)</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 (31-55)</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 (31-55)</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 (56-85)</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Aged (31-55)</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Aged (31-55)</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 (31-55)</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 (56-85)</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 (31-55)</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Aged (31-55)</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 (56-85)</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Aged (31-55)</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Aged (31-55)</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 (31-55)</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Aged (31-55)</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 (56-85)</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Young (0-31)</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Aged (31-55)</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 (31-55)</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Aged (31-55)</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Aged (31-55)</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Young (0-31)</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Aged (31-55)</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Young (0-31)</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Aged (31-55)</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 (56-85)</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Aged (31-55)</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Young (0-31)</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Aged (31-55)</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 (31-55)</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Aged (31-55)</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Aged (31-55)</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 (31-55)</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Aged (31-55)</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 (31-55)</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Aged (31-55)</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Aged (31-55)</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Aged (31-55)</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Aged (31-55)</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 (56-85)",IF(L451&gt;=31,"Middle Aged (31-55)",IF(L451&lt;31,"Young (0-31)","Adult")))</f>
        <v>Middle Aged (31-55)</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Aged (31-55)</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Aged (31-55)</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 (56-85)</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Aged (31-55)</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 (31-55)</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Aged (31-55)</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 (31-55)</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 (56-85)</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Aged (31-55)</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Aged (31-55)</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Aged (31-55)</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Aged (31-55)</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Aged (31-55)</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 (31-55)</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Aged (31-55)</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 (56-85)</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Aged (31-55)</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 (31-55)</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Aged (31-55)</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 (56-85)</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Young (0-31)</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 (31-55)</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Aged (31-55)</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Aged (31-55)</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Aged (31-55)</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 (56-85)</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Aged (31-55)</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 (31-55)</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 (31-55)</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 (31-55)</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Aged (31-55)</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Aged (31-55)</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 (31-55)</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 (56-85)</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Aged (31-55)</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 (31-55)</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 (56-85)</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 (31-55)</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Aged (31-55)</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 (31-55)</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 (31-55)</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 (31-55)</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Aged (31-55)</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 (56-85)</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Aged (31-55)</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 (56-85)</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Aged (31-55)</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Aged (31-55)</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 (31-55)</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Aged (31-55)</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 (31-55)</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Aged (31-55)</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Young (0-31)</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Aged (31-55)</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 (31-55)</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 (31-55)</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Aged (31-55)</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Aged (31-55)</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Young (0-31)</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 (31-55)</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 (31-55)</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 (56-85)</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Aged (31-55)</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IF(L515&gt;55,"Old (56-85)",IF(L515&gt;=31,"Middle Aged (31-55)",IF(L515&lt;31,"Young (0-31)","Adult")))</f>
        <v>Old (56-85)</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 (31-55)</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Aged (31-55)</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Aged (31-55)</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 (31-55)</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Aged (31-55)</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 (56-85)</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 (31-55)</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 (56-85)</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 (31-55)</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 (31-55)</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 (56-85)</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 (56-85)</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Aged (31-55)</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 (31-55)</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Young (0-31)</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 (56-85)</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Young (0-31)</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Young (0-31)</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Aged (31-55)</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 (56-85)</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 (56-85)</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Aged (31-55)</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Aged (31-55)</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Aged (31-55)</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Aged (31-55)</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Aged (31-55)</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Aged (31-55)</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 (31-55)</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Young (0-31)</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Aged (31-55)</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 (31-55)</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Young (0-31)</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 (31-55)</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Aged (31-55)</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Aged (31-55)</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Aged (31-55)</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Aged (31-55)</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 (56-85)</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Aged (31-55)</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 (56-85)</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Aged (31-55)</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 (31-55)</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 (31-55)</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Aged (31-55)</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Aged (31-55)</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 (56-85)</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Aged (31-55)</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Aged (31-55)</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Aged (31-55)</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Young (0-31)</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Young (0-31)</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Aged (31-55)</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 (56-85)</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 (31-55)</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 (31-55)</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 (56-85)</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Aged (31-55)</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Aged (31-55)</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Young (0-31)</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 (56-85)</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Aged (31-55)</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 (56-85)</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Aged (31-55)</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 (56-85)",IF(L579&gt;=31,"Middle Aged (31-55)",IF(L579&lt;31,"Young (0-31)","Adult")))</f>
        <v>Middle Aged (31-55)</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 (56-85)</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Aged (31-55)</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 (56-85)</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Young (0-31)</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 (31-55)</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 (56-85)</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 (31-55)</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 (31-55)</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Aged (31-55)</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Aged (31-55)</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Aged (31-55)</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 (56-85)</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Aged (31-55)</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 (56-85)</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Aged (31-55)</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Aged (31-55)</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 (56-85)</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 (56-85)</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Aged (31-55)</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 (56-85)</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 (31-55)</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 (56-85)</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 (31-55)</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 (31-55)</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Aged (31-55)</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 (31-55)</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Young (0-31)</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Aged (31-55)</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 (31-55)</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Aged (31-55)</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Aged (31-55)</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 (31-55)</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 (31-55)</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Aged (31-55)</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Young (0-31)</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 (31-55)</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Aged (31-55)</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Aged (31-55)</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Aged (31-55)</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 (31-55)</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Aged (31-55)</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Young (0-31)</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Aged (31-55)</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 (56-85)</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 (31-55)</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Aged (31-55)</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Young (0-31)</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 (56-85)</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Young (0-31)</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 (56-85)</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Aged (31-55)</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Aged (31-55)</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Young (0-31)</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 (31-55)</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Aged (31-55)</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Aged (31-55)</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 (56-85)</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Aged (31-55)</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Aged (31-55)</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Young (0-31)</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 (56-85)</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 (56-85)</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 (56-85)</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IF(L643&gt;55,"Old (56-85)",IF(L643&gt;=31,"Middle Aged (31-55)",IF(L643&lt;31,"Young (0-31)","Adult")))</f>
        <v>Old (56-85)</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Aged (31-55)</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Aged (31-55)</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Aged (31-55)</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Aged (31-55)</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Aged (31-55)</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Aged (31-55)</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 (56-85)</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Aged (31-55)</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 (56-85)</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 (31-55)</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 (31-55)</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Aged (31-55)</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Aged (31-55)</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Aged (31-55)</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 (31-55)</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 (31-55)</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 (31-55)</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 (56-85)</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Aged (31-55)</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Young (0-31)</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Aged (31-55)</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Aged (31-55)</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Aged (31-55)</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 (31-55)</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Aged (31-55)</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 (56-85)</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Aged (31-55)</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Aged (31-55)</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 (56-85)</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Aged (31-55)</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Young (0-31)</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Aged (31-55)</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Aged (31-55)</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 (31-55)</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 (31-55)</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 (31-55)</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 (56-85)</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 (56-85)</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Aged (31-55)</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Aged (31-55)</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Aged (31-55)</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Aged (31-55)</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Aged (31-55)</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Aged (31-55)</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Aged (31-55)</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Young (0-31)</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Young (0-31)</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Young (0-31)</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Aged (31-55)</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 (31-55)</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 (31-55)</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Aged (31-55)</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Aged (31-55)</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 (31-55)</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Young (0-31)</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Young (0-31)</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 (31-55)</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 (31-55)</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 (56-85)</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Young (0-31)</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 (31-55)</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Aged (31-55)</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Aged (31-55)</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IF(L707&gt;55,"Old (56-85)",IF(L707&gt;=31,"Middle Aged (31-55)",IF(L707&lt;31,"Young (0-31)","Adult")))</f>
        <v>Old (56-85)</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Aged (31-55)</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Aged (31-55)</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 (56-85)</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 (56-85)</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 (31-55)</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 (56-85)</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 (56-85)</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Aged (31-55)</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Young (0-31)</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Aged (31-55)</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Aged (31-55)</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 (31-55)</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 (31-55)</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Aged (31-55)</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 (56-85)</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 (31-55)</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Aged (31-55)</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Aged (31-55)</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 (31-55)</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 (31-55)</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Aged (31-55)</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 (31-55)</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Young (0-31)</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Aged (31-55)</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Aged (31-55)</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 (31-55)</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Aged (31-55)</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 (31-55)</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Aged (31-55)</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Young (0-31)</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Aged (31-55)</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 (31-55)</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Aged (31-55)</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Middle Aged (31-55)</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Young (0-31)</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Aged (31-55)</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Young (0-31)</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 (31-55)</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 (56-85)</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 (31-55)</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 (56-85)</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Aged (31-55)</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 (56-85)</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 (56-85)</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 (31-55)</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 (31-55)</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 (31-55)</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Young (0-31)</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 (56-85)</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Aged (31-55)</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 (31-55)</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Aged (31-55)</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Aged (31-55)</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Aged (31-55)</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 (31-55)</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 (56-85)</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 (31-55)</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 (31-55)</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Young (0-31)</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Aged (31-55)</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Aged (31-55)</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 (56-85)</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Aged (31-55)</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 (56-85)",IF(L771&gt;=31,"Middle Aged (31-55)",IF(L771&lt;31,"Young (0-31)","Adult")))</f>
        <v>Middle Aged (31-55)</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Aged (31-55)</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 (31-55)</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 (31-55)</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Aged (31-55)</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Aged (31-55)</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Aged (31-55)</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 (56-85)</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Young (0-31)</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 (31-55)</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 (31-55)</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Middle Aged (31-55)</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 (31-55)</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 (31-55)</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 (31-55)</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Aged (31-55)</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Young (0-31)</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Aged (31-55)</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 (56-85)</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Aged (31-55)</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 (31-55)</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Aged (31-55)</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Young (0-31)</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Aged (31-55)</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Aged (31-55)</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 (56-85)</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Aged (31-55)</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 (56-85)</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Young (0-31)</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Young (0-31)</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Aged (31-55)</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 (31-55)</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 (56-85)</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Young (0-31)</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Young (0-31)</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Young (0-31)</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Aged (31-55)</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Aged (31-55)</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Aged (31-55)</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 (31-55)</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 (56-85)</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Aged (31-55)</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Aged (31-55)</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 (56-85)</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Aged (31-55)</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 (56-85)</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Young (0-31)</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Aged (31-55)</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Aged (31-55)</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Young (0-31)</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Young (0-31)</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 (31-55)</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 (31-55)</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 (31-55)</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Aged (31-55)</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 (31-55)</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Aged (31-55)</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 (31-55)</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Aged (31-55)</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Young (0-31)</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 (56-85)</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Aged (31-55)</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Aged (31-55)</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Aged (31-55)</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 (56-85)",IF(L835&gt;=31,"Middle Aged (31-55)",IF(L835&lt;31,"Young (0-31)","Adult")))</f>
        <v>Middle Aged (31-55)</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Aged (31-55)</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Aged (31-55)</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Young (0-31)</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 (31-55)</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Aged (31-55)</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Aged (31-55)</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Aged (31-55)</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 (56-85)</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Aged (31-55)</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Aged (31-55)</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 (56-85)</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Aged (31-55)</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 (56-85)</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Young (0-31)</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 (31-55)</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 (56-85)</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 (56-85)</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 (31-55)</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 (31-55)</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 (31-55)</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Aged (31-55)</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Aged (31-55)</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Young (0-31)</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Aged (31-55)</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 (31-55)</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 (31-55)</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 (31-55)</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Aged (31-55)</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 (31-55)</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 (31-55)</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Aged (31-55)</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Aged (31-55)</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Middle Aged (31-55)</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 (31-55)</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 (56-85)</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Aged (31-55)</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 (31-55)</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Middle Aged (31-55)</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Aged (31-55)</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 (31-55)</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Aged (31-55)</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Aged (31-55)</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Young (0-31)</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 (56-85)</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 (56-85)</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 (31-55)</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 (31-55)</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 (56-85)</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 (31-55)</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Aged (31-55)</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 (56-85)</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Aged (31-55)</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 (31-55)</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 (31-55)</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Aged (31-55)</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Aged (31-55)</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Aged (31-55)</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 (56-85)</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Aged (31-55)</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 (31-55)</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 (31-55)</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 (56-85)</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Aged (31-55)</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 (56-85)",IF(L899&gt;=31,"Middle Aged (31-55)",IF(L899&lt;31,"Young (0-31)","Adult")))</f>
        <v>Young (0-31)</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 (56-85)</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Aged (31-55)</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 (31-55)</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Aged (31-55)</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 (31-55)</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 (56-85)</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Aged (31-55)</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 (31-55)</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 (31-55)</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 (56-85)</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 (31-55)</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 (31-55)</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 (31-55)</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 (56-85)</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Aged (31-55)</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 (31-55)</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 (31-55)</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 (56-85)</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 (31-55)</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 (31-55)</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Aged (31-55)</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 (56-85)</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Aged (31-55)</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Aged (31-55)</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Aged (31-55)</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Aged (31-55)</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 (31-55)</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Aged (31-55)</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 (56-85)</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Aged (31-55)</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 (31-55)</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 (31-55)</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Aged (31-55)</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Aged (31-55)</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Young (0-31)</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Young (0-31)</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 (56-85)</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Aged (31-55)</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 (56-85)</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 (31-55)</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Young (0-31)</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 (31-55)</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Aged (31-55)</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Aged (31-55)</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Aged (31-55)</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Aged (31-55)</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Aged (31-55)</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 (31-55)</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 (56-85)</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Aged (31-55)</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Aged (31-55)</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Aged (31-55)</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Aged (31-55)</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 (31-55)</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 (56-85)</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Young (0-31)</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 (31-55)</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Aged (31-55)</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Aged (31-55)</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Young (0-31)</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 (31-55)</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 (31-55)</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 (31-55)</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 (56-85)",IF(L963&gt;=31,"Middle Aged (31-55)",IF(L963&lt;31,"Young (0-31)","Adult")))</f>
        <v>Old (56-85)</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Middle Aged (31-55)</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 (56-85)</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 (56-85)</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Aged (31-55)</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Aged (31-55)</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 (56-85)</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Young (0-31)</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 (31-55)</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Aged (31-55)</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Aged (31-55)</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Aged (31-55)</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 (31-55)</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Aged (31-55)</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 (31-55)</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 (56-85)</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 (56-85)</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 (31-55)</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Aged (31-55)</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Aged (31-55)</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 (31-55)</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 (31-55)</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 (31-55)</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 (31-55)</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Aged (31-55)</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 (56-85)</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 (56-85)</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 (56-85)</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Aged (31-55)</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Young (0-31)</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Aged (31-55)</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 (31-55)</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 (31-55)</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 (31-55)</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Aged (31-55)</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 (31-55)</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 (31-55)</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 (31-55)</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Aged (31-55)</v>
      </c>
      <c r="N1001" t="s">
        <v>15</v>
      </c>
    </row>
  </sheetData>
  <autoFilter ref="A1:N1001" xr:uid="{2683EE85-4496-4B37-A60D-42F30CF9FEC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D576-3606-4F41-930B-1BFA9AAF848A}">
  <dimension ref="A3:D112"/>
  <sheetViews>
    <sheetView topLeftCell="A55" workbookViewId="0">
      <selection activeCell="E82" sqref="E8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42</v>
      </c>
      <c r="B7" s="3">
        <v>54874.759152215796</v>
      </c>
      <c r="C7" s="3">
        <v>57962.577962577961</v>
      </c>
      <c r="D7" s="3">
        <v>56360</v>
      </c>
    </row>
    <row r="26" spans="1:4" x14ac:dyDescent="0.3">
      <c r="A26" s="4" t="s">
        <v>45</v>
      </c>
      <c r="B26" s="4" t="s">
        <v>44</v>
      </c>
    </row>
    <row r="27" spans="1:4" x14ac:dyDescent="0.3">
      <c r="A27" s="4" t="s">
        <v>41</v>
      </c>
      <c r="B27" t="s">
        <v>18</v>
      </c>
      <c r="C27" t="s">
        <v>15</v>
      </c>
      <c r="D27" t="s">
        <v>42</v>
      </c>
    </row>
    <row r="28" spans="1:4" x14ac:dyDescent="0.3">
      <c r="A28" s="5" t="s">
        <v>16</v>
      </c>
      <c r="B28" s="8">
        <v>166</v>
      </c>
      <c r="C28" s="8">
        <v>200</v>
      </c>
      <c r="D28" s="8">
        <v>366</v>
      </c>
    </row>
    <row r="29" spans="1:4" x14ac:dyDescent="0.3">
      <c r="A29" s="5" t="s">
        <v>26</v>
      </c>
      <c r="B29" s="8">
        <v>92</v>
      </c>
      <c r="C29" s="8">
        <v>77</v>
      </c>
      <c r="D29" s="8">
        <v>169</v>
      </c>
    </row>
    <row r="30" spans="1:4" x14ac:dyDescent="0.3">
      <c r="A30" s="5" t="s">
        <v>22</v>
      </c>
      <c r="B30" s="8">
        <v>67</v>
      </c>
      <c r="C30" s="8">
        <v>95</v>
      </c>
      <c r="D30" s="8">
        <v>162</v>
      </c>
    </row>
    <row r="31" spans="1:4" x14ac:dyDescent="0.3">
      <c r="A31" s="5" t="s">
        <v>23</v>
      </c>
      <c r="B31" s="8">
        <v>116</v>
      </c>
      <c r="C31" s="8">
        <v>76</v>
      </c>
      <c r="D31" s="8">
        <v>192</v>
      </c>
    </row>
    <row r="32" spans="1:4" x14ac:dyDescent="0.3">
      <c r="A32" s="5" t="s">
        <v>46</v>
      </c>
      <c r="B32" s="8">
        <v>78</v>
      </c>
      <c r="C32" s="8">
        <v>33</v>
      </c>
      <c r="D32" s="8">
        <v>111</v>
      </c>
    </row>
    <row r="33" spans="1:4" x14ac:dyDescent="0.3">
      <c r="A33" s="5" t="s">
        <v>42</v>
      </c>
      <c r="B33" s="8">
        <v>519</v>
      </c>
      <c r="C33" s="8">
        <v>481</v>
      </c>
      <c r="D33" s="8">
        <v>1000</v>
      </c>
    </row>
    <row r="42" spans="1:4" x14ac:dyDescent="0.3">
      <c r="A42" s="4" t="s">
        <v>45</v>
      </c>
      <c r="B42" s="4" t="s">
        <v>44</v>
      </c>
    </row>
    <row r="43" spans="1:4" x14ac:dyDescent="0.3">
      <c r="A43" s="4" t="s">
        <v>41</v>
      </c>
      <c r="B43" t="s">
        <v>18</v>
      </c>
      <c r="C43" t="s">
        <v>15</v>
      </c>
      <c r="D43" t="s">
        <v>42</v>
      </c>
    </row>
    <row r="44" spans="1:4" x14ac:dyDescent="0.3">
      <c r="A44" s="5" t="s">
        <v>47</v>
      </c>
      <c r="B44" s="8">
        <v>331</v>
      </c>
      <c r="C44" s="8">
        <v>388</v>
      </c>
      <c r="D44" s="8">
        <v>719</v>
      </c>
    </row>
    <row r="45" spans="1:4" x14ac:dyDescent="0.3">
      <c r="A45" s="5" t="s">
        <v>48</v>
      </c>
      <c r="B45" s="8">
        <v>117</v>
      </c>
      <c r="C45" s="8">
        <v>54</v>
      </c>
      <c r="D45" s="8">
        <v>171</v>
      </c>
    </row>
    <row r="46" spans="1:4" x14ac:dyDescent="0.3">
      <c r="A46" s="5" t="s">
        <v>49</v>
      </c>
      <c r="B46" s="8">
        <v>71</v>
      </c>
      <c r="C46" s="8">
        <v>39</v>
      </c>
      <c r="D46" s="8">
        <v>110</v>
      </c>
    </row>
    <row r="47" spans="1:4" x14ac:dyDescent="0.3">
      <c r="A47" s="5" t="s">
        <v>42</v>
      </c>
      <c r="B47" s="8">
        <v>519</v>
      </c>
      <c r="C47" s="8">
        <v>481</v>
      </c>
      <c r="D47" s="8">
        <v>1000</v>
      </c>
    </row>
    <row r="57" spans="1:4" x14ac:dyDescent="0.3">
      <c r="A57" s="4" t="s">
        <v>45</v>
      </c>
      <c r="B57" s="4" t="s">
        <v>44</v>
      </c>
    </row>
    <row r="58" spans="1:4" x14ac:dyDescent="0.3">
      <c r="A58" s="4" t="s">
        <v>41</v>
      </c>
      <c r="B58" t="s">
        <v>18</v>
      </c>
      <c r="C58" t="s">
        <v>15</v>
      </c>
      <c r="D58" t="s">
        <v>42</v>
      </c>
    </row>
    <row r="59" spans="1:4" x14ac:dyDescent="0.3">
      <c r="A59" s="5">
        <v>25</v>
      </c>
      <c r="B59" s="8">
        <v>2</v>
      </c>
      <c r="C59" s="8">
        <v>4</v>
      </c>
      <c r="D59" s="8">
        <v>6</v>
      </c>
    </row>
    <row r="60" spans="1:4" x14ac:dyDescent="0.3">
      <c r="A60" s="5">
        <v>26</v>
      </c>
      <c r="B60" s="8">
        <v>8</v>
      </c>
      <c r="C60" s="8">
        <v>8</v>
      </c>
      <c r="D60" s="8">
        <v>16</v>
      </c>
    </row>
    <row r="61" spans="1:4" x14ac:dyDescent="0.3">
      <c r="A61" s="5">
        <v>27</v>
      </c>
      <c r="B61" s="8">
        <v>15</v>
      </c>
      <c r="C61" s="8">
        <v>8</v>
      </c>
      <c r="D61" s="8">
        <v>23</v>
      </c>
    </row>
    <row r="62" spans="1:4" x14ac:dyDescent="0.3">
      <c r="A62" s="5">
        <v>28</v>
      </c>
      <c r="B62" s="8">
        <v>12</v>
      </c>
      <c r="C62" s="8">
        <v>10</v>
      </c>
      <c r="D62" s="8">
        <v>22</v>
      </c>
    </row>
    <row r="63" spans="1:4" x14ac:dyDescent="0.3">
      <c r="A63" s="5">
        <v>29</v>
      </c>
      <c r="B63" s="8">
        <v>11</v>
      </c>
      <c r="C63" s="8">
        <v>5</v>
      </c>
      <c r="D63" s="8">
        <v>16</v>
      </c>
    </row>
    <row r="64" spans="1:4" x14ac:dyDescent="0.3">
      <c r="A64" s="5">
        <v>30</v>
      </c>
      <c r="B64" s="8">
        <v>23</v>
      </c>
      <c r="C64" s="8">
        <v>4</v>
      </c>
      <c r="D64" s="8">
        <v>27</v>
      </c>
    </row>
    <row r="65" spans="1:4" x14ac:dyDescent="0.3">
      <c r="A65" s="5">
        <v>31</v>
      </c>
      <c r="B65" s="8">
        <v>17</v>
      </c>
      <c r="C65" s="8">
        <v>8</v>
      </c>
      <c r="D65" s="8">
        <v>25</v>
      </c>
    </row>
    <row r="66" spans="1:4" x14ac:dyDescent="0.3">
      <c r="A66" s="5">
        <v>32</v>
      </c>
      <c r="B66" s="8">
        <v>19</v>
      </c>
      <c r="C66" s="8">
        <v>14</v>
      </c>
      <c r="D66" s="8">
        <v>33</v>
      </c>
    </row>
    <row r="67" spans="1:4" x14ac:dyDescent="0.3">
      <c r="A67" s="5">
        <v>33</v>
      </c>
      <c r="B67" s="8">
        <v>8</v>
      </c>
      <c r="C67" s="8">
        <v>13</v>
      </c>
      <c r="D67" s="8">
        <v>21</v>
      </c>
    </row>
    <row r="68" spans="1:4" x14ac:dyDescent="0.3">
      <c r="A68" s="5">
        <v>34</v>
      </c>
      <c r="B68" s="8">
        <v>12</v>
      </c>
      <c r="C68" s="8">
        <v>19</v>
      </c>
      <c r="D68" s="8">
        <v>31</v>
      </c>
    </row>
    <row r="69" spans="1:4" x14ac:dyDescent="0.3">
      <c r="A69" s="5">
        <v>35</v>
      </c>
      <c r="B69" s="8">
        <v>14</v>
      </c>
      <c r="C69" s="8">
        <v>22</v>
      </c>
      <c r="D69" s="8">
        <v>36</v>
      </c>
    </row>
    <row r="70" spans="1:4" x14ac:dyDescent="0.3">
      <c r="A70" s="5">
        <v>36</v>
      </c>
      <c r="B70" s="8">
        <v>7</v>
      </c>
      <c r="C70" s="8">
        <v>30</v>
      </c>
      <c r="D70" s="8">
        <v>37</v>
      </c>
    </row>
    <row r="71" spans="1:4" x14ac:dyDescent="0.3">
      <c r="A71" s="5">
        <v>37</v>
      </c>
      <c r="B71" s="8">
        <v>4</v>
      </c>
      <c r="C71" s="8">
        <v>28</v>
      </c>
      <c r="D71" s="8">
        <v>32</v>
      </c>
    </row>
    <row r="72" spans="1:4" x14ac:dyDescent="0.3">
      <c r="A72" s="5">
        <v>38</v>
      </c>
      <c r="B72" s="8">
        <v>8</v>
      </c>
      <c r="C72" s="8">
        <v>29</v>
      </c>
      <c r="D72" s="8">
        <v>37</v>
      </c>
    </row>
    <row r="73" spans="1:4" x14ac:dyDescent="0.3">
      <c r="A73" s="5">
        <v>39</v>
      </c>
      <c r="B73" s="8">
        <v>10</v>
      </c>
      <c r="C73" s="8">
        <v>12</v>
      </c>
      <c r="D73" s="8">
        <v>22</v>
      </c>
    </row>
    <row r="74" spans="1:4" x14ac:dyDescent="0.3">
      <c r="A74" s="5">
        <v>40</v>
      </c>
      <c r="B74" s="8">
        <v>24</v>
      </c>
      <c r="C74" s="8">
        <v>18</v>
      </c>
      <c r="D74" s="8">
        <v>42</v>
      </c>
    </row>
    <row r="75" spans="1:4" x14ac:dyDescent="0.3">
      <c r="A75" s="5">
        <v>41</v>
      </c>
      <c r="B75" s="8">
        <v>13</v>
      </c>
      <c r="C75" s="8">
        <v>15</v>
      </c>
      <c r="D75" s="8">
        <v>28</v>
      </c>
    </row>
    <row r="76" spans="1:4" x14ac:dyDescent="0.3">
      <c r="A76" s="5">
        <v>42</v>
      </c>
      <c r="B76" s="8">
        <v>22</v>
      </c>
      <c r="C76" s="8">
        <v>12</v>
      </c>
      <c r="D76" s="8">
        <v>34</v>
      </c>
    </row>
    <row r="77" spans="1:4" x14ac:dyDescent="0.3">
      <c r="A77" s="5">
        <v>43</v>
      </c>
      <c r="B77" s="8">
        <v>17</v>
      </c>
      <c r="C77" s="8">
        <v>19</v>
      </c>
      <c r="D77" s="8">
        <v>36</v>
      </c>
    </row>
    <row r="78" spans="1:4" x14ac:dyDescent="0.3">
      <c r="A78" s="5">
        <v>44</v>
      </c>
      <c r="B78" s="8">
        <v>15</v>
      </c>
      <c r="C78" s="8">
        <v>12</v>
      </c>
      <c r="D78" s="8">
        <v>27</v>
      </c>
    </row>
    <row r="79" spans="1:4" x14ac:dyDescent="0.3">
      <c r="A79" s="5">
        <v>45</v>
      </c>
      <c r="B79" s="8">
        <v>18</v>
      </c>
      <c r="C79" s="8">
        <v>13</v>
      </c>
      <c r="D79" s="8">
        <v>31</v>
      </c>
    </row>
    <row r="80" spans="1:4" x14ac:dyDescent="0.3">
      <c r="A80" s="5">
        <v>46</v>
      </c>
      <c r="B80" s="8">
        <v>12</v>
      </c>
      <c r="C80" s="8">
        <v>15</v>
      </c>
      <c r="D80" s="8">
        <v>27</v>
      </c>
    </row>
    <row r="81" spans="1:4" x14ac:dyDescent="0.3">
      <c r="A81" s="5">
        <v>47</v>
      </c>
      <c r="B81" s="8">
        <v>19</v>
      </c>
      <c r="C81" s="8">
        <v>20</v>
      </c>
      <c r="D81" s="8">
        <v>39</v>
      </c>
    </row>
    <row r="82" spans="1:4" x14ac:dyDescent="0.3">
      <c r="A82" s="5">
        <v>48</v>
      </c>
      <c r="B82" s="8">
        <v>16</v>
      </c>
      <c r="C82" s="8">
        <v>13</v>
      </c>
      <c r="D82" s="8">
        <v>29</v>
      </c>
    </row>
    <row r="83" spans="1:4" x14ac:dyDescent="0.3">
      <c r="A83" s="5">
        <v>49</v>
      </c>
      <c r="B83" s="8">
        <v>15</v>
      </c>
      <c r="C83" s="8">
        <v>8</v>
      </c>
      <c r="D83" s="8">
        <v>23</v>
      </c>
    </row>
    <row r="84" spans="1:4" x14ac:dyDescent="0.3">
      <c r="A84" s="5">
        <v>50</v>
      </c>
      <c r="B84" s="8">
        <v>12</v>
      </c>
      <c r="C84" s="8">
        <v>12</v>
      </c>
      <c r="D84" s="8">
        <v>24</v>
      </c>
    </row>
    <row r="85" spans="1:4" x14ac:dyDescent="0.3">
      <c r="A85" s="5">
        <v>51</v>
      </c>
      <c r="B85" s="8">
        <v>10</v>
      </c>
      <c r="C85" s="8">
        <v>12</v>
      </c>
      <c r="D85" s="8">
        <v>22</v>
      </c>
    </row>
    <row r="86" spans="1:4" x14ac:dyDescent="0.3">
      <c r="A86" s="5">
        <v>52</v>
      </c>
      <c r="B86" s="8">
        <v>10</v>
      </c>
      <c r="C86" s="8">
        <v>15</v>
      </c>
      <c r="D86" s="8">
        <v>25</v>
      </c>
    </row>
    <row r="87" spans="1:4" x14ac:dyDescent="0.3">
      <c r="A87" s="5">
        <v>53</v>
      </c>
      <c r="B87" s="8">
        <v>11</v>
      </c>
      <c r="C87" s="8">
        <v>13</v>
      </c>
      <c r="D87" s="8">
        <v>24</v>
      </c>
    </row>
    <row r="88" spans="1:4" x14ac:dyDescent="0.3">
      <c r="A88" s="5">
        <v>54</v>
      </c>
      <c r="B88" s="8">
        <v>5</v>
      </c>
      <c r="C88" s="8">
        <v>11</v>
      </c>
      <c r="D88" s="8">
        <v>16</v>
      </c>
    </row>
    <row r="89" spans="1:4" x14ac:dyDescent="0.3">
      <c r="A89" s="5">
        <v>55</v>
      </c>
      <c r="B89" s="8">
        <v>13</v>
      </c>
      <c r="C89" s="8">
        <v>5</v>
      </c>
      <c r="D89" s="8">
        <v>18</v>
      </c>
    </row>
    <row r="90" spans="1:4" x14ac:dyDescent="0.3">
      <c r="A90" s="5">
        <v>56</v>
      </c>
      <c r="B90" s="8">
        <v>13</v>
      </c>
      <c r="C90" s="8">
        <v>3</v>
      </c>
      <c r="D90" s="8">
        <v>16</v>
      </c>
    </row>
    <row r="91" spans="1:4" x14ac:dyDescent="0.3">
      <c r="A91" s="5">
        <v>57</v>
      </c>
      <c r="B91" s="8">
        <v>4</v>
      </c>
      <c r="C91" s="8">
        <v>4</v>
      </c>
      <c r="D91" s="8">
        <v>8</v>
      </c>
    </row>
    <row r="92" spans="1:4" x14ac:dyDescent="0.3">
      <c r="A92" s="5">
        <v>58</v>
      </c>
      <c r="B92" s="8">
        <v>8</v>
      </c>
      <c r="C92" s="8">
        <v>4</v>
      </c>
      <c r="D92" s="8">
        <v>12</v>
      </c>
    </row>
    <row r="93" spans="1:4" x14ac:dyDescent="0.3">
      <c r="A93" s="5">
        <v>59</v>
      </c>
      <c r="B93" s="8">
        <v>14</v>
      </c>
      <c r="C93" s="8">
        <v>6</v>
      </c>
      <c r="D93" s="8">
        <v>20</v>
      </c>
    </row>
    <row r="94" spans="1:4" x14ac:dyDescent="0.3">
      <c r="A94" s="5">
        <v>60</v>
      </c>
      <c r="B94" s="8">
        <v>8</v>
      </c>
      <c r="C94" s="8">
        <v>7</v>
      </c>
      <c r="D94" s="8">
        <v>15</v>
      </c>
    </row>
    <row r="95" spans="1:4" x14ac:dyDescent="0.3">
      <c r="A95" s="5">
        <v>61</v>
      </c>
      <c r="B95" s="8">
        <v>5</v>
      </c>
      <c r="C95" s="8">
        <v>4</v>
      </c>
      <c r="D95" s="8">
        <v>9</v>
      </c>
    </row>
    <row r="96" spans="1:4" x14ac:dyDescent="0.3">
      <c r="A96" s="5">
        <v>62</v>
      </c>
      <c r="B96" s="8">
        <v>9</v>
      </c>
      <c r="C96" s="8">
        <v>4</v>
      </c>
      <c r="D96" s="8">
        <v>13</v>
      </c>
    </row>
    <row r="97" spans="1:4" x14ac:dyDescent="0.3">
      <c r="A97" s="5">
        <v>63</v>
      </c>
      <c r="B97" s="8">
        <v>7</v>
      </c>
      <c r="C97" s="8">
        <v>2</v>
      </c>
      <c r="D97" s="8">
        <v>9</v>
      </c>
    </row>
    <row r="98" spans="1:4" x14ac:dyDescent="0.3">
      <c r="A98" s="5">
        <v>64</v>
      </c>
      <c r="B98" s="8">
        <v>7</v>
      </c>
      <c r="C98" s="8">
        <v>3</v>
      </c>
      <c r="D98" s="8">
        <v>10</v>
      </c>
    </row>
    <row r="99" spans="1:4" x14ac:dyDescent="0.3">
      <c r="A99" s="5">
        <v>65</v>
      </c>
      <c r="B99" s="8">
        <v>6</v>
      </c>
      <c r="C99" s="8">
        <v>3</v>
      </c>
      <c r="D99" s="8">
        <v>9</v>
      </c>
    </row>
    <row r="100" spans="1:4" x14ac:dyDescent="0.3">
      <c r="A100" s="5">
        <v>66</v>
      </c>
      <c r="B100" s="8">
        <v>8</v>
      </c>
      <c r="C100" s="8">
        <v>6</v>
      </c>
      <c r="D100" s="8">
        <v>14</v>
      </c>
    </row>
    <row r="101" spans="1:4" x14ac:dyDescent="0.3">
      <c r="A101" s="5">
        <v>67</v>
      </c>
      <c r="B101" s="8">
        <v>8</v>
      </c>
      <c r="C101" s="8">
        <v>2</v>
      </c>
      <c r="D101" s="8">
        <v>10</v>
      </c>
    </row>
    <row r="102" spans="1:4" x14ac:dyDescent="0.3">
      <c r="A102" s="5">
        <v>68</v>
      </c>
      <c r="B102" s="8">
        <v>3</v>
      </c>
      <c r="C102" s="8"/>
      <c r="D102" s="8">
        <v>3</v>
      </c>
    </row>
    <row r="103" spans="1:4" x14ac:dyDescent="0.3">
      <c r="A103" s="5">
        <v>69</v>
      </c>
      <c r="B103" s="8">
        <v>8</v>
      </c>
      <c r="C103" s="8"/>
      <c r="D103" s="8">
        <v>8</v>
      </c>
    </row>
    <row r="104" spans="1:4" x14ac:dyDescent="0.3">
      <c r="A104" s="5">
        <v>70</v>
      </c>
      <c r="B104" s="8">
        <v>3</v>
      </c>
      <c r="C104" s="8">
        <v>1</v>
      </c>
      <c r="D104" s="8">
        <v>4</v>
      </c>
    </row>
    <row r="105" spans="1:4" x14ac:dyDescent="0.3">
      <c r="A105" s="5">
        <v>71</v>
      </c>
      <c r="B105" s="8">
        <v>1</v>
      </c>
      <c r="C105" s="8"/>
      <c r="D105" s="8">
        <v>1</v>
      </c>
    </row>
    <row r="106" spans="1:4" x14ac:dyDescent="0.3">
      <c r="A106" s="5">
        <v>72</v>
      </c>
      <c r="B106" s="8"/>
      <c r="C106" s="8">
        <v>1</v>
      </c>
      <c r="D106" s="8">
        <v>1</v>
      </c>
    </row>
    <row r="107" spans="1:4" x14ac:dyDescent="0.3">
      <c r="A107" s="5">
        <v>73</v>
      </c>
      <c r="B107" s="8">
        <v>2</v>
      </c>
      <c r="C107" s="8">
        <v>2</v>
      </c>
      <c r="D107" s="8">
        <v>4</v>
      </c>
    </row>
    <row r="108" spans="1:4" x14ac:dyDescent="0.3">
      <c r="A108" s="5">
        <v>74</v>
      </c>
      <c r="B108" s="8"/>
      <c r="C108" s="8">
        <v>1</v>
      </c>
      <c r="D108" s="8">
        <v>1</v>
      </c>
    </row>
    <row r="109" spans="1:4" x14ac:dyDescent="0.3">
      <c r="A109" s="5">
        <v>78</v>
      </c>
      <c r="B109" s="8">
        <v>1</v>
      </c>
      <c r="C109" s="8">
        <v>1</v>
      </c>
      <c r="D109" s="8">
        <v>2</v>
      </c>
    </row>
    <row r="110" spans="1:4" x14ac:dyDescent="0.3">
      <c r="A110" s="5">
        <v>80</v>
      </c>
      <c r="B110" s="8">
        <v>1</v>
      </c>
      <c r="C110" s="8"/>
      <c r="D110" s="8">
        <v>1</v>
      </c>
    </row>
    <row r="111" spans="1:4" x14ac:dyDescent="0.3">
      <c r="A111" s="5">
        <v>89</v>
      </c>
      <c r="B111" s="8">
        <v>1</v>
      </c>
      <c r="C111" s="8"/>
      <c r="D111" s="8">
        <v>1</v>
      </c>
    </row>
    <row r="112" spans="1:4" x14ac:dyDescent="0.3">
      <c r="A112" s="5" t="s">
        <v>42</v>
      </c>
      <c r="B112" s="8">
        <v>519</v>
      </c>
      <c r="C112" s="8">
        <v>481</v>
      </c>
      <c r="D112" s="8">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D7B0C-E17A-4480-A47D-89B958A43417}">
  <dimension ref="A1:AD28"/>
  <sheetViews>
    <sheetView showGridLines="0" tabSelected="1" zoomScale="51" workbookViewId="0">
      <selection activeCell="AX53" sqref="AX53"/>
    </sheetView>
  </sheetViews>
  <sheetFormatPr defaultRowHeight="14.4" x14ac:dyDescent="0.3"/>
  <sheetData>
    <row r="1" spans="1:30" ht="14.4" customHeight="1" x14ac:dyDescent="0.3">
      <c r="A1" s="9" t="s">
        <v>51</v>
      </c>
      <c r="B1" s="7"/>
      <c r="C1" s="7"/>
      <c r="D1" s="7"/>
      <c r="E1" s="7"/>
      <c r="F1" s="7"/>
      <c r="G1" s="7"/>
      <c r="H1" s="7"/>
    </row>
    <row r="2" spans="1:30" ht="14.4" customHeight="1" x14ac:dyDescent="0.3">
      <c r="A2" s="7"/>
      <c r="B2" s="7"/>
      <c r="C2" s="7"/>
      <c r="D2" s="7"/>
      <c r="E2" s="7"/>
      <c r="F2" s="7"/>
      <c r="G2" s="7"/>
      <c r="H2" s="7"/>
    </row>
    <row r="3" spans="1:30" ht="14.4" customHeight="1" x14ac:dyDescent="0.3">
      <c r="A3" s="7"/>
      <c r="B3" s="7"/>
      <c r="C3" s="7"/>
      <c r="D3" s="7"/>
      <c r="E3" s="7"/>
      <c r="F3" s="7"/>
      <c r="G3" s="7"/>
      <c r="H3" s="7"/>
    </row>
    <row r="4" spans="1:30" ht="14.4" customHeight="1" x14ac:dyDescent="0.3">
      <c r="A4" s="7"/>
      <c r="B4" s="7"/>
      <c r="C4" s="7"/>
      <c r="D4" s="7"/>
      <c r="E4" s="7"/>
      <c r="F4" s="7"/>
      <c r="G4" s="7"/>
      <c r="H4" s="7"/>
    </row>
    <row r="5" spans="1:30" ht="14.4" customHeight="1" x14ac:dyDescent="0.3">
      <c r="A5" s="7"/>
      <c r="B5" s="7"/>
      <c r="C5" s="7"/>
      <c r="D5" s="7"/>
      <c r="E5" s="7"/>
      <c r="F5" s="7"/>
      <c r="G5" s="7"/>
      <c r="H5" s="7"/>
    </row>
    <row r="6" spans="1:30" ht="14.4" customHeight="1" x14ac:dyDescent="0.3">
      <c r="A6" s="7"/>
      <c r="B6" s="7"/>
      <c r="C6" s="7"/>
      <c r="D6" s="7"/>
      <c r="E6" s="7"/>
      <c r="F6" s="7"/>
      <c r="G6" s="7"/>
      <c r="H6" s="7"/>
    </row>
    <row r="7" spans="1:30" ht="14.4" customHeight="1" x14ac:dyDescent="0.3">
      <c r="A7" s="7"/>
      <c r="B7" s="7"/>
      <c r="C7" s="7"/>
      <c r="D7" s="7"/>
      <c r="E7" s="7"/>
      <c r="F7" s="7"/>
      <c r="G7" s="7"/>
      <c r="H7" s="7"/>
    </row>
    <row r="12" spans="1:30"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1:30" x14ac:dyDescent="0.3">
      <c r="A22" s="6"/>
      <c r="B22" s="6"/>
      <c r="C22" s="6"/>
      <c r="D22" s="6"/>
      <c r="E22" s="6"/>
      <c r="F22" s="6"/>
      <c r="G22" s="6"/>
      <c r="H22" s="6"/>
      <c r="I22" s="6"/>
      <c r="J22" s="6" t="s">
        <v>50</v>
      </c>
      <c r="K22" s="6"/>
      <c r="L22" s="6"/>
      <c r="M22" s="6"/>
      <c r="N22" s="6"/>
      <c r="O22" s="6"/>
      <c r="P22" s="6"/>
      <c r="Q22" s="6"/>
      <c r="R22" s="6"/>
      <c r="S22" s="6"/>
      <c r="T22" s="6"/>
      <c r="U22" s="6"/>
      <c r="V22" s="6"/>
      <c r="W22" s="6"/>
      <c r="X22" s="6"/>
      <c r="Y22" s="6"/>
      <c r="Z22" s="6"/>
      <c r="AA22" s="6"/>
      <c r="AB22" s="6"/>
      <c r="AC22" s="6"/>
      <c r="AD22" s="6"/>
    </row>
    <row r="23" spans="1:30"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sheetData>
  <mergeCells count="1">
    <mergeCell ref="A1:H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Reshal Menezes</cp:lastModifiedBy>
  <dcterms:created xsi:type="dcterms:W3CDTF">2022-03-18T02:50:57Z</dcterms:created>
  <dcterms:modified xsi:type="dcterms:W3CDTF">2026-10-20T06:30:18Z</dcterms:modified>
</cp:coreProperties>
</file>